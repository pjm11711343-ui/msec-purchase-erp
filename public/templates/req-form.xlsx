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990" tabRatio="953" firstSheet="0" activeTab="0" autoFilterDateGrouping="1"/>
  </bookViews>
  <sheets>
    <sheet xmlns:r="http://schemas.openxmlformats.org/officeDocument/2006/relationships" name="청구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xlnm.Print_Titles" localSheetId="0">'청구서'!$1:$6</definedName>
    <definedName name="_xlnm.Print_Area" localSheetId="0">'청구서'!$A$1:$X$188</definedName>
  </definedNames>
  <calcPr calcId="181029" fullCalcOnLoad="1"/>
</workbook>
</file>

<file path=xl/styles.xml><?xml version="1.0" encoding="utf-8"?>
<styleSheet xmlns="http://schemas.openxmlformats.org/spreadsheetml/2006/main">
  <numFmts count="11">
    <numFmt numFmtId="164" formatCode="_-* #,##0_-;\-* #,##0_-;_-* &quot;-&quot;_-;_-@_-"/>
    <numFmt numFmtId="165" formatCode="_-* #,##0_-;&quot;₩&quot;\!\-* #,##0_-;_-* &quot;-&quot;_-;_-@_-"/>
    <numFmt numFmtId="166" formatCode="#,##0_ ;[Red]\-#,##0\ "/>
    <numFmt numFmtId="167" formatCode="mm&quot;월&quot;\ dd&quot;일&quot;"/>
    <numFmt numFmtId="168" formatCode="#,##0_);\(#,##0\)"/>
    <numFmt numFmtId="169" formatCode="#,##0_);[Red]\(#,##0\)"/>
    <numFmt numFmtId="170" formatCode="#,##0_ "/>
    <numFmt numFmtId="171" formatCode="#,##0.0_ "/>
    <numFmt numFmtId="172" formatCode="#,##0&quot;세대&quot;"/>
    <numFmt numFmtId="173" formatCode="yyyy&quot;년&quot;\ m&quot;월&quot;\ d&quot;일&quot;;@"/>
    <numFmt numFmtId="174" formatCode="#,##0.0&quot;본&quot;"/>
  </numFmts>
  <fonts count="4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20"/>
    </font>
    <font>
      <name val="돋움"/>
      <charset val="129"/>
      <family val="3"/>
      <sz val="8"/>
    </font>
    <font>
      <name val="굴림"/>
      <charset val="129"/>
      <family val="3"/>
      <b val="1"/>
      <sz val="24"/>
      <u val="single"/>
    </font>
    <font>
      <name val="굴림"/>
      <charset val="129"/>
      <family val="3"/>
      <b val="1"/>
      <sz val="16"/>
    </font>
    <font>
      <name val="굴림"/>
      <charset val="129"/>
      <family val="3"/>
      <b val="1"/>
      <sz val="14"/>
    </font>
    <font>
      <name val="굴림"/>
      <charset val="129"/>
      <family val="3"/>
      <b val="1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color rgb="FFFF0000"/>
      <sz val="11"/>
    </font>
    <font>
      <name val="굴림"/>
      <charset val="129"/>
      <family val="3"/>
      <b val="1"/>
      <sz val="24"/>
    </font>
    <font>
      <name val="굴림"/>
      <charset val="129"/>
      <family val="3"/>
      <b val="1"/>
      <sz val="18"/>
    </font>
    <font>
      <name val="굴림"/>
      <charset val="129"/>
      <family val="3"/>
      <b val="1"/>
      <sz val="26"/>
    </font>
    <font>
      <name val="HY목각파임B"/>
      <charset val="129"/>
      <family val="1"/>
      <sz val="26"/>
    </font>
    <font>
      <name val="돋움"/>
      <charset val="129"/>
      <family val="3"/>
      <sz val="10"/>
    </font>
    <font>
      <name val="돋움"/>
      <charset val="129"/>
      <family val="3"/>
      <sz val="9"/>
    </font>
    <font>
      <name val="맑은 고딕"/>
      <charset val="129"/>
      <family val="3"/>
      <color indexed="8"/>
      <sz val="11"/>
    </font>
    <font>
      <name val="굴림"/>
      <charset val="129"/>
      <family val="3"/>
      <color theme="1"/>
      <sz val="11"/>
    </font>
    <font>
      <name val="굴림"/>
      <charset val="129"/>
      <family val="3"/>
      <sz val="9"/>
    </font>
    <font>
      <name val="굴림"/>
      <charset val="129"/>
      <family val="3"/>
      <b val="1"/>
      <sz val="15"/>
    </font>
    <font>
      <name val="굴림"/>
      <charset val="129"/>
      <family val="3"/>
      <color indexed="8"/>
      <sz val="11"/>
    </font>
    <font>
      <name val="굴림"/>
      <charset val="129"/>
      <family val="3"/>
      <color indexed="8"/>
      <sz val="8"/>
    </font>
    <font>
      <name val="굴림"/>
      <charset val="129"/>
      <family val="3"/>
      <color theme="0" tint="-0.1499984740745262"/>
      <sz val="11"/>
    </font>
    <font>
      <name val="굴림"/>
      <charset val="129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sz val="10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b val="1"/>
      <color indexed="8"/>
      <sz val="11"/>
    </font>
    <font>
      <name val="굴림"/>
      <charset val="129"/>
      <family val="3"/>
      <color theme="1"/>
      <sz val="9"/>
    </font>
    <font>
      <name val="굴림"/>
      <charset val="129"/>
      <family val="3"/>
      <sz val="9"/>
      <u val="single"/>
    </font>
    <font>
      <name val="굴림"/>
      <charset val="129"/>
      <family val="3"/>
      <color theme="1"/>
      <sz val="8"/>
    </font>
    <font>
      <name val="굴림"/>
      <charset val="129"/>
      <family val="3"/>
      <sz val="8"/>
    </font>
    <font>
      <name val="맑은 고딕"/>
      <charset val="129"/>
      <family val="2"/>
      <color rgb="FF00B0F0"/>
      <sz val="11"/>
      <scheme val="minor"/>
    </font>
    <font>
      <name val="바탕"/>
      <charset val="129"/>
      <family val="1"/>
      <sz val="8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gradientFill type="linear" degree="90">
        <stop position="0">
          <color theme="0" tint="-0.05096591082491531"/>
        </stop>
        <stop position="1">
          <color theme="0" tint="-0.1490218817712943"/>
        </stop>
      </gradient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4C3BE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theme="0" tint="-0.149967955565050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1499679555650502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1499679555650502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6">
    <xf numFmtId="0" fontId="2" fillId="0" borderId="0" applyAlignment="1">
      <alignment vertical="center"/>
    </xf>
    <xf numFmtId="41" fontId="2" fillId="0" borderId="0" applyAlignment="1">
      <alignment vertical="center"/>
    </xf>
    <xf numFmtId="0" fontId="3" fillId="0" borderId="0"/>
    <xf numFmtId="41" fontId="3" fillId="0" borderId="0"/>
    <xf numFmtId="0" fontId="3" fillId="0" borderId="0"/>
    <xf numFmtId="0" fontId="3" fillId="0" borderId="0" applyAlignment="1">
      <alignment vertical="center"/>
    </xf>
    <xf numFmtId="165" fontId="3" fillId="0" borderId="0"/>
    <xf numFmtId="0" fontId="3" fillId="0" borderId="0" applyAlignment="1">
      <alignment vertical="center"/>
    </xf>
    <xf numFmtId="0" fontId="3" fillId="0" borderId="0"/>
    <xf numFmtId="41" fontId="20" fillId="0" borderId="0" applyAlignment="1">
      <alignment vertical="center"/>
    </xf>
    <xf numFmtId="0" fontId="3" fillId="0" borderId="0"/>
    <xf numFmtId="41" fontId="20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41" fontId="3" fillId="0" borderId="0"/>
    <xf numFmtId="0" fontId="3" fillId="0" borderId="0"/>
  </cellStyleXfs>
  <cellXfs count="46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vertical="center"/>
    </xf>
    <xf numFmtId="164" fontId="11" fillId="0" borderId="3" applyAlignment="1" pivotButton="0" quotePrefix="0" xfId="3">
      <alignment horizontal="center" vertical="center"/>
    </xf>
    <xf numFmtId="164" fontId="11" fillId="0" borderId="3" applyAlignment="1" pivotButton="0" quotePrefix="0" xfId="3">
      <alignment vertical="center" shrinkToFit="1"/>
    </xf>
    <xf numFmtId="164" fontId="11" fillId="0" borderId="3" applyAlignment="1" pivotButton="0" quotePrefix="0" xfId="3">
      <alignment horizontal="center" vertical="center" shrinkToFit="1"/>
    </xf>
    <xf numFmtId="164" fontId="11" fillId="0" borderId="3" applyAlignment="1" pivotButton="0" quotePrefix="0" xfId="3">
      <alignment vertical="center"/>
    </xf>
    <xf numFmtId="0" fontId="11" fillId="0" borderId="3" applyAlignment="1" pivotButton="0" quotePrefix="0" xfId="2">
      <alignment horizontal="center" vertical="center" shrinkToFit="1"/>
    </xf>
    <xf numFmtId="164" fontId="11" fillId="0" borderId="3" applyAlignment="1" pivotButton="0" quotePrefix="0" xfId="3">
      <alignment horizontal="left" vertical="center"/>
    </xf>
    <xf numFmtId="164" fontId="11" fillId="0" borderId="7" applyAlignment="1" pivotButton="0" quotePrefix="0" xfId="3">
      <alignment horizontal="center" vertical="center"/>
    </xf>
    <xf numFmtId="164" fontId="11" fillId="0" borderId="7" applyAlignment="1" pivotButton="0" quotePrefix="0" xfId="3">
      <alignment vertical="center" shrinkToFit="1"/>
    </xf>
    <xf numFmtId="0" fontId="11" fillId="0" borderId="7" applyAlignment="1" pivotButton="0" quotePrefix="0" xfId="2">
      <alignment vertical="center"/>
    </xf>
    <xf numFmtId="0" fontId="11" fillId="0" borderId="5" applyAlignment="1" pivotButton="0" quotePrefix="0" xfId="2">
      <alignment vertical="center"/>
    </xf>
    <xf numFmtId="0" fontId="11" fillId="0" borderId="10" applyAlignment="1" pivotButton="0" quotePrefix="0" xfId="2">
      <alignment vertical="center"/>
    </xf>
    <xf numFmtId="0" fontId="11" fillId="0" borderId="0" applyAlignment="1" pivotButton="0" quotePrefix="0" xfId="2">
      <alignment horizontal="center" vertical="center"/>
    </xf>
    <xf numFmtId="164" fontId="11" fillId="0" borderId="4" applyAlignment="1" pivotButton="0" quotePrefix="0" xfId="3">
      <alignment vertical="center"/>
    </xf>
    <xf numFmtId="164" fontId="11" fillId="0" borderId="4" applyAlignment="1" pivotButton="0" quotePrefix="0" xfId="3">
      <alignment horizontal="center" vertical="center"/>
    </xf>
    <xf numFmtId="165" fontId="11" fillId="0" borderId="3" applyAlignment="1" pivotButton="0" quotePrefix="0" xfId="3">
      <alignment horizontal="right" vertical="center"/>
    </xf>
    <xf numFmtId="165" fontId="11" fillId="0" borderId="3" applyAlignment="1" pivotButton="0" quotePrefix="0" xfId="3">
      <alignment vertical="center"/>
    </xf>
    <xf numFmtId="0" fontId="11" fillId="0" borderId="3" applyAlignment="1" pivotButton="0" quotePrefix="0" xfId="5">
      <alignment horizontal="center" vertical="center" shrinkToFit="1"/>
    </xf>
    <xf numFmtId="0" fontId="11" fillId="0" borderId="9" applyAlignment="1" pivotButton="0" quotePrefix="0" xfId="2">
      <alignment horizontal="center" vertical="center"/>
    </xf>
    <xf numFmtId="0" fontId="11" fillId="0" borderId="11" applyAlignment="1" pivotButton="0" quotePrefix="0" xfId="2">
      <alignment horizontal="center" vertical="center"/>
    </xf>
    <xf numFmtId="0" fontId="12" fillId="0" borderId="3" applyAlignment="1" pivotButton="0" quotePrefix="0" xfId="4">
      <alignment horizontal="center" vertical="center"/>
    </xf>
    <xf numFmtId="0" fontId="11" fillId="0" borderId="0" applyAlignment="1" pivotButton="0" quotePrefix="0" xfId="4">
      <alignment vertical="center"/>
    </xf>
    <xf numFmtId="0" fontId="16" fillId="0" borderId="3" applyAlignment="1" pivotButton="0" quotePrefix="0" xfId="4">
      <alignment vertical="center"/>
    </xf>
    <xf numFmtId="165" fontId="11" fillId="0" borderId="3" applyAlignment="1" pivotButton="0" quotePrefix="0" xfId="6">
      <alignment horizontal="center" vertical="center"/>
    </xf>
    <xf numFmtId="0" fontId="11" fillId="0" borderId="3" applyAlignment="1" pivotButton="0" quotePrefix="0" xfId="4">
      <alignment horizontal="center" vertical="center"/>
    </xf>
    <xf numFmtId="0" fontId="11" fillId="0" borderId="1" applyAlignment="1" pivotButton="0" quotePrefix="0" xfId="4">
      <alignment vertical="center"/>
    </xf>
    <xf numFmtId="165" fontId="11" fillId="0" borderId="3" applyAlignment="1" pivotButton="0" quotePrefix="0" xfId="6">
      <alignment vertical="center"/>
    </xf>
    <xf numFmtId="165" fontId="11" fillId="0" borderId="9" applyAlignment="1" pivotButton="0" quotePrefix="0" xfId="6">
      <alignment vertical="center"/>
    </xf>
    <xf numFmtId="0" fontId="11" fillId="0" borderId="4" applyAlignment="1" pivotButton="0" quotePrefix="0" xfId="4">
      <alignment vertical="center"/>
    </xf>
    <xf numFmtId="0" fontId="11" fillId="0" borderId="4" applyAlignment="1" pivotButton="0" quotePrefix="0" xfId="4">
      <alignment horizontal="center" vertical="center"/>
    </xf>
    <xf numFmtId="3" fontId="11" fillId="0" borderId="3" applyAlignment="1" pivotButton="0" quotePrefix="0" xfId="4">
      <alignment horizontal="center" vertical="center"/>
    </xf>
    <xf numFmtId="164" fontId="11" fillId="0" borderId="3" applyAlignment="1" pivotButton="0" quotePrefix="0" xfId="2">
      <alignment vertical="center"/>
    </xf>
    <xf numFmtId="0" fontId="11" fillId="0" borderId="3" applyAlignment="1" pivotButton="0" quotePrefix="0" xfId="2">
      <alignment horizontal="left" vertical="center"/>
    </xf>
    <xf numFmtId="0" fontId="19" fillId="0" borderId="0" applyAlignment="1" pivotButton="0" quotePrefix="0" xfId="8">
      <alignment horizontal="center" vertical="center" wrapText="1"/>
    </xf>
    <xf numFmtId="49" fontId="19" fillId="0" borderId="0" applyAlignment="1" pivotButton="0" quotePrefix="0" xfId="4">
      <alignment horizontal="center" vertical="center" wrapText="1"/>
    </xf>
    <xf numFmtId="0" fontId="18" fillId="0" borderId="0" applyAlignment="1" pivotButton="0" quotePrefix="0" xfId="4">
      <alignment horizontal="center" vertical="center" wrapText="1"/>
    </xf>
    <xf numFmtId="0" fontId="18" fillId="0" borderId="0" applyAlignment="1" pivotButton="0" quotePrefix="0" xfId="4">
      <alignment vertical="center" wrapText="1"/>
    </xf>
    <xf numFmtId="165" fontId="18" fillId="0" borderId="0" applyAlignment="1" pivotButton="0" quotePrefix="0" xfId="6">
      <alignment horizontal="center" vertical="center" wrapText="1"/>
    </xf>
    <xf numFmtId="165" fontId="11" fillId="0" borderId="0" applyAlignment="1" pivotButton="0" quotePrefix="0" xfId="6">
      <alignment horizontal="center" vertical="center"/>
    </xf>
    <xf numFmtId="0" fontId="11" fillId="0" borderId="0" applyAlignment="1" pivotButton="0" quotePrefix="0" xfId="4">
      <alignment horizontal="center" vertical="center"/>
    </xf>
    <xf numFmtId="165" fontId="11" fillId="0" borderId="0" applyAlignment="1" pivotButton="0" quotePrefix="0" xfId="6">
      <alignment vertical="center"/>
    </xf>
    <xf numFmtId="165" fontId="11" fillId="0" borderId="0" applyAlignment="1" pivotButton="0" quotePrefix="0" xfId="6">
      <alignment horizontal="left" vertical="center"/>
    </xf>
    <xf numFmtId="0" fontId="11" fillId="0" borderId="0" applyAlignment="1" pivotButton="0" quotePrefix="0" xfId="4">
      <alignment horizontal="left" vertical="center"/>
    </xf>
    <xf numFmtId="0" fontId="11" fillId="3" borderId="3" applyAlignment="1" pivotButton="0" quotePrefix="0" xfId="2">
      <alignment horizontal="center" vertical="center" shrinkToFit="1"/>
    </xf>
    <xf numFmtId="166" fontId="21" fillId="0" borderId="3" applyAlignment="1" pivotButton="0" quotePrefix="0" xfId="3">
      <alignment vertical="center" shrinkToFit="1"/>
    </xf>
    <xf numFmtId="164" fontId="11" fillId="0" borderId="3" applyAlignment="1" pivotButton="0" quotePrefix="0" xfId="6">
      <alignment vertical="center" shrinkToFit="1"/>
    </xf>
    <xf numFmtId="0" fontId="11" fillId="0" borderId="3" applyAlignment="1" pivotButton="0" quotePrefix="0" xfId="4">
      <alignment horizontal="center" vertical="center" shrinkToFit="1"/>
    </xf>
    <xf numFmtId="164" fontId="11" fillId="0" borderId="3" applyAlignment="1" pivotButton="0" quotePrefix="0" xfId="3">
      <alignment vertical="center" wrapText="1"/>
    </xf>
    <xf numFmtId="167" fontId="11" fillId="0" borderId="4" applyAlignment="1" pivotButton="0" quotePrefix="0" xfId="4">
      <alignment horizontal="center" vertical="center"/>
    </xf>
    <xf numFmtId="164" fontId="11" fillId="0" borderId="3" applyAlignment="1" pivotButton="0" quotePrefix="0" xfId="6">
      <alignment horizontal="left" vertical="center"/>
    </xf>
    <xf numFmtId="0" fontId="11" fillId="0" borderId="3" applyAlignment="1" pivotButton="0" quotePrefix="0" xfId="7">
      <alignment horizontal="center" vertical="center"/>
    </xf>
    <xf numFmtId="168" fontId="11" fillId="0" borderId="3" applyAlignment="1" pivotButton="0" quotePrefix="0" xfId="6">
      <alignment vertical="center"/>
    </xf>
    <xf numFmtId="168" fontId="11" fillId="0" borderId="3" applyAlignment="1" pivotButton="0" quotePrefix="0" xfId="6">
      <alignment horizontal="right" vertical="center"/>
    </xf>
    <xf numFmtId="0" fontId="12" fillId="0" borderId="3" applyAlignment="1" pivotButton="0" quotePrefix="0" xfId="10">
      <alignment horizontal="center" vertical="center"/>
    </xf>
    <xf numFmtId="0" fontId="11" fillId="0" borderId="0" applyAlignment="1" pivotButton="0" quotePrefix="0" xfId="10">
      <alignment vertical="center"/>
    </xf>
    <xf numFmtId="0" fontId="16" fillId="0" borderId="3" applyAlignment="1" pivotButton="0" quotePrefix="0" xfId="10">
      <alignment vertical="center"/>
    </xf>
    <xf numFmtId="0" fontId="11" fillId="0" borderId="3" applyAlignment="1" pivotButton="0" quotePrefix="0" xfId="10">
      <alignment horizontal="center" vertical="center"/>
    </xf>
    <xf numFmtId="164" fontId="21" fillId="0" borderId="4" applyAlignment="1" pivotButton="0" quotePrefix="0" xfId="6">
      <alignment vertical="center" shrinkToFit="1"/>
    </xf>
    <xf numFmtId="169" fontId="21" fillId="0" borderId="3" applyAlignment="1" pivotButton="0" quotePrefix="0" xfId="3">
      <alignment horizontal="center" vertical="center" shrinkToFit="1"/>
    </xf>
    <xf numFmtId="169" fontId="21" fillId="0" borderId="3" applyAlignment="1" pivotButton="0" quotePrefix="0" xfId="2">
      <alignment horizontal="center" vertical="center" shrinkToFit="1"/>
    </xf>
    <xf numFmtId="164" fontId="11" fillId="0" borderId="3" applyAlignment="1" pivotButton="0" quotePrefix="0" xfId="6">
      <alignment horizontal="center" vertical="center"/>
    </xf>
    <xf numFmtId="0" fontId="21" fillId="0" borderId="3" applyAlignment="1" pivotButton="0" quotePrefix="0" xfId="7">
      <alignment horizontal="center" vertical="center"/>
    </xf>
    <xf numFmtId="164" fontId="11" fillId="0" borderId="3" applyAlignment="1" pivotButton="0" quotePrefix="0" xfId="6">
      <alignment vertical="center"/>
    </xf>
    <xf numFmtId="164" fontId="21" fillId="0" borderId="3" applyAlignment="1" pivotButton="0" quotePrefix="0" xfId="6">
      <alignment vertical="center" shrinkToFit="1"/>
    </xf>
    <xf numFmtId="169" fontId="21" fillId="0" borderId="3" applyAlignment="1" pivotButton="0" quotePrefix="0" xfId="3">
      <alignment horizontal="right" vertical="center"/>
    </xf>
    <xf numFmtId="169" fontId="13" fillId="0" borderId="3" applyAlignment="1" pivotButton="0" quotePrefix="0" xfId="3">
      <alignment horizontal="right" vertical="center"/>
    </xf>
    <xf numFmtId="0" fontId="11" fillId="0" borderId="0" applyAlignment="1" pivotButton="0" quotePrefix="0" xfId="10">
      <alignment horizontal="left" vertical="center"/>
    </xf>
    <xf numFmtId="0" fontId="11" fillId="0" borderId="0" applyAlignment="1" pivotButton="0" quotePrefix="0" xfId="10">
      <alignment horizontal="center" vertical="center"/>
    </xf>
    <xf numFmtId="0" fontId="12" fillId="0" borderId="3" applyAlignment="1" pivotButton="0" quotePrefix="0" xfId="10">
      <alignment vertical="center"/>
    </xf>
    <xf numFmtId="164" fontId="11" fillId="0" borderId="3" applyAlignment="1" pivotButton="0" quotePrefix="0" xfId="6">
      <alignment horizontal="right" vertical="center"/>
    </xf>
    <xf numFmtId="164" fontId="11" fillId="0" borderId="3" applyAlignment="1" pivotButton="0" quotePrefix="0" xfId="3">
      <alignment horizontal="right" vertical="center"/>
    </xf>
    <xf numFmtId="165" fontId="11" fillId="0" borderId="3" applyAlignment="1" pivotButton="0" quotePrefix="0" xfId="6">
      <alignment horizontal="right" vertical="center"/>
    </xf>
    <xf numFmtId="164" fontId="11" fillId="0" borderId="4" applyAlignment="1" pivotButton="0" quotePrefix="0" xfId="6">
      <alignment vertical="center"/>
    </xf>
    <xf numFmtId="164" fontId="11" fillId="0" borderId="4" applyAlignment="1" pivotButton="0" quotePrefix="0" xfId="6">
      <alignment horizontal="left" vertical="center"/>
    </xf>
    <xf numFmtId="168" fontId="11" fillId="0" borderId="3" applyAlignment="1" pivotButton="0" quotePrefix="0" xfId="3">
      <alignment vertical="center"/>
    </xf>
    <xf numFmtId="164" fontId="11" fillId="0" borderId="11" applyAlignment="1" pivotButton="0" quotePrefix="0" xfId="3">
      <alignment horizontal="left" vertical="center"/>
    </xf>
    <xf numFmtId="164" fontId="11" fillId="0" borderId="9" applyAlignment="1" pivotButton="0" quotePrefix="0" xfId="9">
      <alignment horizontal="center" vertical="center"/>
    </xf>
    <xf numFmtId="164" fontId="11" fillId="0" borderId="3" applyAlignment="1" pivotButton="0" quotePrefix="0" xfId="9">
      <alignment vertical="center" shrinkToFit="1"/>
    </xf>
    <xf numFmtId="0" fontId="11" fillId="0" borderId="3" applyAlignment="1" pivotButton="0" quotePrefix="0" xfId="10">
      <alignment horizontal="center" vertical="center" wrapText="1"/>
    </xf>
    <xf numFmtId="164" fontId="11" fillId="0" borderId="3" applyAlignment="1" pivotButton="0" quotePrefix="0" xfId="9">
      <alignment vertical="center" wrapText="1"/>
    </xf>
    <xf numFmtId="170" fontId="21" fillId="0" borderId="3" applyAlignment="1" pivotButton="0" quotePrefix="0" xfId="3">
      <alignment horizontal="center" vertical="center" shrinkToFit="1"/>
    </xf>
    <xf numFmtId="164" fontId="21" fillId="0" borderId="3" applyAlignment="1" pivotButton="0" quotePrefix="0" xfId="3">
      <alignment vertical="center" shrinkToFit="1"/>
    </xf>
    <xf numFmtId="0" fontId="4" fillId="0" borderId="0" applyAlignment="1" pivotButton="0" quotePrefix="0" xfId="10">
      <alignment vertical="center"/>
    </xf>
    <xf numFmtId="49" fontId="19" fillId="0" borderId="0" applyAlignment="1" pivotButton="0" quotePrefix="0" xfId="10">
      <alignment horizontal="center" vertical="center" wrapText="1"/>
    </xf>
    <xf numFmtId="0" fontId="18" fillId="0" borderId="0" applyAlignment="1" pivotButton="0" quotePrefix="0" xfId="10">
      <alignment horizontal="center" vertical="center" wrapText="1"/>
    </xf>
    <xf numFmtId="0" fontId="18" fillId="0" borderId="0" applyAlignment="1" pivotButton="0" quotePrefix="0" xfId="10">
      <alignment vertical="center" wrapText="1"/>
    </xf>
    <xf numFmtId="3" fontId="11" fillId="0" borderId="3" applyAlignment="1" pivotButton="0" quotePrefix="0" xfId="10">
      <alignment horizontal="center" vertical="center"/>
    </xf>
    <xf numFmtId="164" fontId="11" fillId="0" borderId="9" applyAlignment="1" pivotButton="0" quotePrefix="0" xfId="3">
      <alignment horizontal="center" vertical="center"/>
    </xf>
    <xf numFmtId="171" fontId="11" fillId="0" borderId="3" applyAlignment="1" pivotButton="0" quotePrefix="0" xfId="3">
      <alignment horizontal="center" vertical="center"/>
    </xf>
    <xf numFmtId="0" fontId="11" fillId="3" borderId="3" applyAlignment="1" pivotButton="0" quotePrefix="0" xfId="7">
      <alignment horizontal="center" vertical="center"/>
    </xf>
    <xf numFmtId="166" fontId="11" fillId="0" borderId="3" applyAlignment="1" pivotButton="0" quotePrefix="0" xfId="3">
      <alignment vertical="center"/>
    </xf>
    <xf numFmtId="0" fontId="21" fillId="0" borderId="3" applyAlignment="1" pivotButton="0" quotePrefix="0" xfId="7">
      <alignment horizontal="left" vertical="center"/>
    </xf>
    <xf numFmtId="0" fontId="11" fillId="0" borderId="4" applyAlignment="1" pivotButton="0" quotePrefix="0" xfId="3">
      <alignment horizontal="center" vertical="center"/>
    </xf>
    <xf numFmtId="0" fontId="11" fillId="0" borderId="3" applyAlignment="1" pivotButton="0" quotePrefix="0" xfId="3">
      <alignment horizontal="center" vertical="center" shrinkToFit="1"/>
    </xf>
    <xf numFmtId="165" fontId="11" fillId="0" borderId="3" applyAlignment="1" pivotButton="0" quotePrefix="0" xfId="6">
      <alignment vertical="center" shrinkToFit="1"/>
    </xf>
    <xf numFmtId="0" fontId="11" fillId="0" borderId="3" applyAlignment="1" pivotButton="0" quotePrefix="0" xfId="10">
      <alignment vertical="center"/>
    </xf>
    <xf numFmtId="0" fontId="11" fillId="0" borderId="4" applyAlignment="1" pivotButton="0" quotePrefix="0" xfId="10">
      <alignment vertical="center"/>
    </xf>
    <xf numFmtId="0" fontId="11" fillId="0" borderId="4" applyAlignment="1" pivotButton="0" quotePrefix="0" xfId="10">
      <alignment horizontal="center" vertical="center"/>
    </xf>
    <xf numFmtId="170" fontId="11" fillId="0" borderId="3" applyAlignment="1" pivotButton="0" quotePrefix="0" xfId="3">
      <alignment horizontal="center" vertical="center" shrinkToFit="1"/>
    </xf>
    <xf numFmtId="165" fontId="21" fillId="0" borderId="3" applyAlignment="1" pivotButton="0" quotePrefix="0" xfId="6">
      <alignment horizontal="center" vertical="center" shrinkToFit="1"/>
    </xf>
    <xf numFmtId="165" fontId="21" fillId="0" borderId="3" applyAlignment="1" pivotButton="0" quotePrefix="0" xfId="6">
      <alignment horizontal="right" vertical="center"/>
    </xf>
    <xf numFmtId="14" fontId="11" fillId="0" borderId="0" applyAlignment="1" pivotButton="0" quotePrefix="0" xfId="4">
      <alignment vertical="center"/>
    </xf>
    <xf numFmtId="0" fontId="0" fillId="0" borderId="0" applyAlignment="1" pivotButton="0" quotePrefix="0" xfId="0">
      <alignment horizontal="center" vertical="center"/>
    </xf>
    <xf numFmtId="164" fontId="11" fillId="0" borderId="4" applyAlignment="1" pivotButton="0" quotePrefix="0" xfId="6">
      <alignment vertical="center" shrinkToFit="1"/>
    </xf>
    <xf numFmtId="0" fontId="11" fillId="0" borderId="4" applyAlignment="1" pivotButton="0" quotePrefix="0" xfId="4">
      <alignment horizontal="center" vertical="center" shrinkToFit="1"/>
    </xf>
    <xf numFmtId="0" fontId="11" fillId="0" borderId="4" applyAlignment="1" pivotButton="0" quotePrefix="0" xfId="7">
      <alignment horizontal="center" vertical="center"/>
    </xf>
    <xf numFmtId="164" fontId="11" fillId="0" borderId="5" applyAlignment="1" pivotButton="0" quotePrefix="0" xfId="3">
      <alignment vertical="center"/>
    </xf>
    <xf numFmtId="164" fontId="11" fillId="0" borderId="5" applyAlignment="1" pivotButton="0" quotePrefix="0" xfId="3">
      <alignment vertical="center" shrinkToFit="1"/>
    </xf>
    <xf numFmtId="164" fontId="11" fillId="0" borderId="5" applyAlignment="1" pivotButton="0" quotePrefix="0" xfId="3">
      <alignment horizontal="center" vertical="center"/>
    </xf>
    <xf numFmtId="0" fontId="24" fillId="0" borderId="3" applyAlignment="1" pivotButton="0" quotePrefix="0" xfId="1">
      <alignment horizontal="center" vertical="center"/>
    </xf>
    <xf numFmtId="0" fontId="11" fillId="0" borderId="3" applyAlignment="1" pivotButton="0" quotePrefix="0" xfId="1">
      <alignment horizontal="center" vertical="center"/>
    </xf>
    <xf numFmtId="164" fontId="25" fillId="0" borderId="17" applyAlignment="1" pivotButton="0" quotePrefix="0" xfId="1">
      <alignment horizontal="center" vertical="center" wrapText="1" shrinkToFit="1"/>
    </xf>
    <xf numFmtId="165" fontId="12" fillId="0" borderId="3" applyAlignment="1" pivotButton="0" quotePrefix="0" xfId="6">
      <alignment horizontal="center" vertical="center"/>
    </xf>
    <xf numFmtId="165" fontId="12" fillId="4" borderId="3" applyAlignment="1" pivotButton="0" quotePrefix="0" xfId="6">
      <alignment horizontal="center" vertical="center"/>
    </xf>
    <xf numFmtId="0" fontId="12" fillId="4" borderId="3" applyAlignment="1" pivotButton="0" quotePrefix="0" xfId="4">
      <alignment horizontal="center" vertical="center"/>
    </xf>
    <xf numFmtId="164" fontId="24" fillId="0" borderId="3" applyAlignment="1" pivotButton="0" quotePrefix="0" xfId="1">
      <alignment vertical="center"/>
    </xf>
    <xf numFmtId="164" fontId="21" fillId="0" borderId="3" applyAlignment="1" pivotButton="0" quotePrefix="0" xfId="1">
      <alignment vertical="center"/>
    </xf>
    <xf numFmtId="164" fontId="11" fillId="0" borderId="0" applyAlignment="1" pivotButton="0" quotePrefix="0" xfId="3">
      <alignment horizontal="center" vertical="center"/>
    </xf>
    <xf numFmtId="164" fontId="24" fillId="0" borderId="3" applyAlignment="1" pivotButton="0" quotePrefix="0" xfId="1">
      <alignment horizontal="center" vertical="center"/>
    </xf>
    <xf numFmtId="0" fontId="11" fillId="0" borderId="3" applyAlignment="1" pivotButton="0" quotePrefix="0" xfId="2">
      <alignment horizontal="center" vertical="center"/>
    </xf>
    <xf numFmtId="0" fontId="11" fillId="0" borderId="3" applyAlignment="1" pivotButton="0" quotePrefix="0" xfId="2">
      <alignment vertical="center"/>
    </xf>
    <xf numFmtId="164" fontId="5" fillId="0" borderId="0" applyAlignment="1" pivotButton="0" quotePrefix="0" xfId="1">
      <alignment vertical="center"/>
    </xf>
    <xf numFmtId="164" fontId="14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164" fontId="11" fillId="0" borderId="4" applyAlignment="1" pivotButton="0" quotePrefix="0" xfId="1">
      <alignment horizontal="center" vertical="center"/>
    </xf>
    <xf numFmtId="169" fontId="28" fillId="0" borderId="4" applyAlignment="1" pivotButton="0" quotePrefix="0" xfId="3">
      <alignment vertical="center" shrinkToFit="1"/>
    </xf>
    <xf numFmtId="0" fontId="28" fillId="0" borderId="3" applyAlignment="1" pivotButton="0" quotePrefix="0" xfId="7">
      <alignment horizontal="left" vertical="center"/>
    </xf>
    <xf numFmtId="169" fontId="28" fillId="0" borderId="10" applyAlignment="1" pivotButton="0" quotePrefix="0" xfId="3">
      <alignment horizontal="left" vertical="center" shrinkToFit="1"/>
    </xf>
    <xf numFmtId="0" fontId="2" fillId="0" borderId="3" applyAlignment="1" pivotButton="0" quotePrefix="0" xfId="4">
      <alignment horizontal="left" vertical="center"/>
    </xf>
    <xf numFmtId="169" fontId="28" fillId="3" borderId="10" applyAlignment="1" pivotButton="0" quotePrefix="0" xfId="3">
      <alignment horizontal="left" vertical="center" shrinkToFit="1"/>
    </xf>
    <xf numFmtId="169" fontId="28" fillId="3" borderId="4" applyAlignment="1" pivotButton="0" quotePrefix="0" xfId="3">
      <alignment vertical="center" shrinkToFit="1"/>
    </xf>
    <xf numFmtId="169" fontId="29" fillId="0" borderId="4" applyAlignment="1" pivotButton="0" quotePrefix="0" xfId="3">
      <alignment vertical="center" shrinkToFit="1"/>
    </xf>
    <xf numFmtId="164" fontId="2" fillId="0" borderId="3" applyAlignment="1" pivotButton="0" quotePrefix="0" xfId="3">
      <alignment vertical="center"/>
    </xf>
    <xf numFmtId="164" fontId="2" fillId="0" borderId="3" applyAlignment="1" pivotButton="0" quotePrefix="0" xfId="3">
      <alignment horizontal="center" vertical="center"/>
    </xf>
    <xf numFmtId="164" fontId="2" fillId="0" borderId="9" applyAlignment="1" pivotButton="0" quotePrefix="0" xfId="3">
      <alignment horizontal="center" vertical="center"/>
    </xf>
    <xf numFmtId="164" fontId="2" fillId="0" borderId="4" applyAlignment="1" pivotButton="0" quotePrefix="0" xfId="3">
      <alignment vertical="center"/>
    </xf>
    <xf numFmtId="164" fontId="2" fillId="0" borderId="4" applyAlignment="1" pivotButton="0" quotePrefix="0" xfId="3">
      <alignment horizontal="center" vertical="center"/>
    </xf>
    <xf numFmtId="0" fontId="3" fillId="0" borderId="3" applyAlignment="1" pivotButton="0" quotePrefix="0" xfId="8">
      <alignment horizontal="center" vertical="center" wrapText="1"/>
    </xf>
    <xf numFmtId="49" fontId="3" fillId="0" borderId="3" applyAlignment="1" pivotButton="0" quotePrefix="0" xfId="10">
      <alignment horizontal="center" vertical="center" wrapText="1"/>
    </xf>
    <xf numFmtId="0" fontId="3" fillId="0" borderId="3" applyAlignment="1" pivotButton="0" quotePrefix="0" xfId="10">
      <alignment horizontal="center" vertical="center" wrapText="1"/>
    </xf>
    <xf numFmtId="0" fontId="3" fillId="0" borderId="3" applyAlignment="1" pivotButton="0" quotePrefix="0" xfId="10">
      <alignment vertical="center" wrapText="1"/>
    </xf>
    <xf numFmtId="165" fontId="3" fillId="0" borderId="3" applyAlignment="1" pivotButton="0" quotePrefix="0" xfId="6">
      <alignment horizontal="center" vertical="center" wrapText="1"/>
    </xf>
    <xf numFmtId="169" fontId="29" fillId="0" borderId="3" applyAlignment="1" pivotButton="0" quotePrefix="0" xfId="3">
      <alignment vertical="center" shrinkToFit="1"/>
    </xf>
    <xf numFmtId="169" fontId="28" fillId="3" borderId="3" applyAlignment="1" pivotButton="0" quotePrefix="0" xfId="3">
      <alignment horizontal="left" vertical="center" shrinkToFit="1"/>
    </xf>
    <xf numFmtId="0" fontId="29" fillId="3" borderId="3" applyAlignment="1" pivotButton="0" quotePrefix="0" xfId="7">
      <alignment horizontal="center" vertical="center"/>
    </xf>
    <xf numFmtId="164" fontId="2" fillId="0" borderId="3" applyAlignment="1" pivotButton="0" quotePrefix="0" xfId="6">
      <alignment vertical="center"/>
    </xf>
    <xf numFmtId="164" fontId="11" fillId="0" borderId="10" applyAlignment="1" pivotButton="0" quotePrefix="0" xfId="1">
      <alignment horizontal="center" vertical="center"/>
    </xf>
    <xf numFmtId="164" fontId="0" fillId="0" borderId="3" applyAlignment="1" pivotButton="0" quotePrefix="0" xfId="0">
      <alignment vertical="center"/>
    </xf>
    <xf numFmtId="164" fontId="31" fillId="0" borderId="0" applyAlignment="1" pivotButton="0" quotePrefix="0" xfId="1">
      <alignment horizontal="left" vertical="center"/>
    </xf>
    <xf numFmtId="0" fontId="12" fillId="0" borderId="14" applyAlignment="1" pivotButton="0" quotePrefix="0" xfId="2">
      <alignment horizontal="center" vertical="center"/>
    </xf>
    <xf numFmtId="0" fontId="12" fillId="0" borderId="15" applyAlignment="1" pivotButton="0" quotePrefix="0" xfId="2">
      <alignment horizontal="center" vertical="center"/>
    </xf>
    <xf numFmtId="0" fontId="12" fillId="0" borderId="13" applyAlignment="1" pivotButton="0" quotePrefix="0" xfId="2">
      <alignment horizontal="center" vertical="center"/>
    </xf>
    <xf numFmtId="0" fontId="12" fillId="0" borderId="11" applyAlignment="1" pivotButton="0" quotePrefix="0" xfId="2">
      <alignment horizontal="center" vertical="center"/>
    </xf>
    <xf numFmtId="0" fontId="12" fillId="0" borderId="12" applyAlignment="1" pivotButton="0" quotePrefix="0" xfId="2">
      <alignment horizontal="center" vertical="center"/>
    </xf>
    <xf numFmtId="0" fontId="12" fillId="0" borderId="9" applyAlignment="1" pivotButton="0" quotePrefix="0" xfId="2">
      <alignment horizontal="center" vertical="center"/>
    </xf>
    <xf numFmtId="164" fontId="12" fillId="0" borderId="18" applyAlignment="1" pivotButton="0" quotePrefix="0" xfId="1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7" borderId="19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64" fontId="0" fillId="0" borderId="21" applyAlignment="1" pivotButton="0" quotePrefix="0" xfId="0">
      <alignment vertical="center"/>
    </xf>
    <xf numFmtId="164" fontId="22" fillId="0" borderId="0" applyAlignment="1" pivotButton="0" quotePrefix="0" xfId="3">
      <alignment vertical="center"/>
    </xf>
    <xf numFmtId="164" fontId="22" fillId="0" borderId="0" applyAlignment="1" pivotButton="0" quotePrefix="0" xfId="1">
      <alignment vertical="center" wrapText="1"/>
    </xf>
    <xf numFmtId="164" fontId="35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/>
    </xf>
    <xf numFmtId="164" fontId="11" fillId="0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center" vertical="center"/>
    </xf>
    <xf numFmtId="172" fontId="11" fillId="0" borderId="10" applyAlignment="1" pivotButton="0" quotePrefix="0" xfId="1">
      <alignment horizontal="center" vertical="center"/>
    </xf>
    <xf numFmtId="164" fontId="27" fillId="0" borderId="20" applyAlignment="1" pivotButton="0" quotePrefix="0" xfId="1">
      <alignment vertical="center"/>
    </xf>
    <xf numFmtId="164" fontId="27" fillId="0" borderId="3" applyAlignment="1" pivotButton="0" quotePrefix="0" xfId="1">
      <alignment vertical="center"/>
    </xf>
    <xf numFmtId="164" fontId="30" fillId="7" borderId="3" applyAlignment="1" pivotButton="0" quotePrefix="0" xfId="0">
      <alignment vertical="center"/>
    </xf>
    <xf numFmtId="0" fontId="30" fillId="7" borderId="3" applyAlignment="1" pivotButton="0" quotePrefix="0" xfId="0">
      <alignment horizontal="center" vertical="center"/>
    </xf>
    <xf numFmtId="164" fontId="27" fillId="7" borderId="3" applyAlignment="1" pivotButton="0" quotePrefix="0" xfId="1">
      <alignment vertical="center"/>
    </xf>
    <xf numFmtId="164" fontId="33" fillId="6" borderId="3" applyAlignment="1" pivotButton="0" quotePrefix="0" xfId="1">
      <alignment horizontal="left" vertical="center"/>
    </xf>
    <xf numFmtId="164" fontId="27" fillId="5" borderId="28" applyAlignment="1" pivotButton="0" quotePrefix="0" xfId="1">
      <alignment vertical="center"/>
    </xf>
    <xf numFmtId="0" fontId="12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30" fillId="7" borderId="4" applyAlignment="1" pivotButton="0" quotePrefix="0" xfId="0">
      <alignment vertical="center"/>
    </xf>
    <xf numFmtId="0" fontId="12" fillId="0" borderId="27" applyAlignment="1" pivotButton="0" quotePrefix="0" xfId="0">
      <alignment horizontal="center" vertical="center"/>
    </xf>
    <xf numFmtId="164" fontId="30" fillId="7" borderId="29" applyAlignment="1" pivotButton="0" quotePrefix="0" xfId="0">
      <alignment horizontal="center" vertical="center"/>
    </xf>
    <xf numFmtId="0" fontId="12" fillId="7" borderId="27" applyAlignment="1" pivotButton="0" quotePrefix="0" xfId="0">
      <alignment horizontal="center" vertical="center"/>
    </xf>
    <xf numFmtId="164" fontId="32" fillId="8" borderId="23" applyAlignment="1" pivotButton="0" quotePrefix="0" xfId="1">
      <alignment horizontal="center" vertical="center"/>
    </xf>
    <xf numFmtId="164" fontId="12" fillId="8" borderId="23" applyAlignment="1" pivotButton="0" quotePrefix="0" xfId="1">
      <alignment horizontal="center" vertical="center"/>
    </xf>
    <xf numFmtId="164" fontId="33" fillId="8" borderId="23" applyAlignment="1" pivotButton="0" quotePrefix="0" xfId="1">
      <alignment horizontal="center" vertical="center"/>
    </xf>
    <xf numFmtId="164" fontId="34" fillId="0" borderId="9" applyAlignment="1" pivotButton="0" quotePrefix="0" xfId="1">
      <alignment horizontal="center" vertical="center" shrinkToFit="1"/>
    </xf>
    <xf numFmtId="164" fontId="36" fillId="0" borderId="30" applyAlignment="1" pivotButton="0" quotePrefix="0" xfId="1">
      <alignment horizontal="center" vertical="center" shrinkToFit="1"/>
    </xf>
    <xf numFmtId="164" fontId="25" fillId="0" borderId="30" applyAlignment="1" pivotButton="0" quotePrefix="0" xfId="1">
      <alignment horizontal="center" vertical="center" shrinkToFit="1"/>
    </xf>
    <xf numFmtId="164" fontId="37" fillId="0" borderId="30" applyAlignment="1" pivotButton="0" quotePrefix="0" xfId="1">
      <alignment horizontal="center" vertical="center" shrinkToFit="1"/>
    </xf>
    <xf numFmtId="164" fontId="27" fillId="0" borderId="20" applyAlignment="1" pivotButton="0" quotePrefix="0" xfId="1">
      <alignment vertical="center"/>
    </xf>
    <xf numFmtId="0" fontId="12" fillId="8" borderId="2" applyAlignment="1" pivotButton="0" quotePrefix="0" xfId="2">
      <alignment horizontal="center" vertical="center"/>
    </xf>
    <xf numFmtId="0" fontId="12" fillId="8" borderId="13" applyAlignment="1" pivotButton="0" quotePrefix="0" xfId="2">
      <alignment horizontal="center" vertical="center"/>
    </xf>
    <xf numFmtId="0" fontId="12" fillId="8" borderId="9" applyAlignment="1" pivotButton="0" quotePrefix="0" xfId="2">
      <alignment horizontal="center" vertical="center"/>
    </xf>
    <xf numFmtId="0" fontId="12" fillId="8" borderId="10" applyAlignment="1" pivotButton="0" quotePrefix="0" xfId="2">
      <alignment horizontal="center" vertical="center"/>
    </xf>
    <xf numFmtId="0" fontId="12" fillId="0" borderId="14" applyAlignment="1" pivotButton="0" quotePrefix="0" xfId="2">
      <alignment vertical="center"/>
    </xf>
    <xf numFmtId="0" fontId="12" fillId="0" borderId="15" applyAlignment="1" pivotButton="0" quotePrefix="0" xfId="2">
      <alignment vertical="center"/>
    </xf>
    <xf numFmtId="164" fontId="27" fillId="0" borderId="10" applyAlignment="1" pivotButton="0" quotePrefix="0" xfId="1">
      <alignment vertical="center"/>
    </xf>
    <xf numFmtId="164" fontId="4" fillId="0" borderId="0" applyAlignment="1" pivotButton="0" quotePrefix="0" xfId="1">
      <alignment vertical="center"/>
    </xf>
    <xf numFmtId="0" fontId="7" fillId="0" borderId="0" applyAlignment="1" pivotButton="0" quotePrefix="0" xfId="2">
      <alignment vertical="center"/>
    </xf>
    <xf numFmtId="0" fontId="15" fillId="0" borderId="0" applyAlignment="1" pivotButton="0" quotePrefix="0" xfId="2">
      <alignment horizontal="left" vertical="center"/>
    </xf>
    <xf numFmtId="164" fontId="22" fillId="0" borderId="0" applyAlignment="1" pivotButton="0" quotePrefix="0" xfId="2">
      <alignment vertical="center"/>
    </xf>
    <xf numFmtId="173" fontId="4" fillId="0" borderId="0" applyAlignment="1" pivotButton="0" quotePrefix="0" xfId="2">
      <alignment vertical="center"/>
    </xf>
    <xf numFmtId="173" fontId="22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164" fontId="11" fillId="0" borderId="0" applyAlignment="1" pivotButton="0" quotePrefix="0" xfId="1">
      <alignment vertical="center"/>
    </xf>
    <xf numFmtId="0" fontId="11" fillId="0" borderId="7" applyAlignment="1" pivotButton="0" quotePrefix="0" xfId="2">
      <alignment horizontal="center" vertical="center"/>
    </xf>
    <xf numFmtId="164" fontId="25" fillId="0" borderId="16" applyAlignment="1" pivotButton="0" quotePrefix="0" xfId="1">
      <alignment horizontal="center" vertical="center" wrapText="1" shrinkToFit="1"/>
    </xf>
    <xf numFmtId="164" fontId="8" fillId="0" borderId="1" applyAlignment="1" pivotButton="0" quotePrefix="0" xfId="1">
      <alignment vertical="center"/>
    </xf>
    <xf numFmtId="0" fontId="9" fillId="0" borderId="0" applyAlignment="1" pivotButton="0" quotePrefix="0" xfId="2">
      <alignment horizontal="center" vertical="center"/>
    </xf>
    <xf numFmtId="0" fontId="9" fillId="0" borderId="0" applyAlignment="1" pivotButton="0" quotePrefix="0" xfId="2">
      <alignment vertical="center"/>
    </xf>
    <xf numFmtId="0" fontId="10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/>
    </xf>
    <xf numFmtId="0" fontId="4" fillId="0" borderId="1" applyAlignment="1" pivotButton="0" quotePrefix="0" xfId="2">
      <alignment vertical="center"/>
    </xf>
    <xf numFmtId="164" fontId="4" fillId="0" borderId="0" applyAlignment="1" pivotButton="0" quotePrefix="0" xfId="1">
      <alignment horizontal="center" vertical="center"/>
    </xf>
    <xf numFmtId="0" fontId="4" fillId="9" borderId="0" applyAlignment="1" pivotButton="0" quotePrefix="0" xfId="2">
      <alignment vertical="center"/>
    </xf>
    <xf numFmtId="0" fontId="11" fillId="9" borderId="0" applyAlignment="1" pivotButton="0" quotePrefix="0" xfId="2">
      <alignment vertical="center"/>
    </xf>
    <xf numFmtId="0" fontId="12" fillId="8" borderId="16" applyAlignment="1" pivotButton="0" quotePrefix="0" xfId="2">
      <alignment horizontal="center" vertical="center"/>
    </xf>
    <xf numFmtId="0" fontId="12" fillId="8" borderId="40" applyAlignment="1" pivotButton="0" quotePrefix="0" xfId="2">
      <alignment horizontal="center" vertical="center"/>
    </xf>
    <xf numFmtId="0" fontId="12" fillId="10" borderId="9" applyAlignment="1" pivotButton="0" quotePrefix="0" xfId="2">
      <alignment horizontal="center" vertical="center"/>
    </xf>
    <xf numFmtId="0" fontId="12" fillId="10" borderId="42" applyAlignment="1" pivotButton="0" quotePrefix="0" xfId="2">
      <alignment horizontal="center" vertical="center"/>
    </xf>
    <xf numFmtId="164" fontId="25" fillId="0" borderId="44" applyAlignment="1" pivotButton="0" quotePrefix="0" xfId="1">
      <alignment horizontal="center" vertical="center" wrapText="1" shrinkToFit="1"/>
    </xf>
    <xf numFmtId="164" fontId="24" fillId="0" borderId="41" applyAlignment="1" pivotButton="0" quotePrefix="0" xfId="1">
      <alignment vertical="center"/>
    </xf>
    <xf numFmtId="164" fontId="24" fillId="0" borderId="4" applyAlignment="1" pivotButton="0" quotePrefix="0" xfId="1">
      <alignment horizontal="center" vertical="center"/>
    </xf>
    <xf numFmtId="164" fontId="21" fillId="0" borderId="43" applyAlignment="1" pivotButton="0" quotePrefix="0" xfId="1">
      <alignment vertical="center"/>
    </xf>
    <xf numFmtId="174" fontId="25" fillId="0" borderId="5" applyAlignment="1" pivotButton="0" quotePrefix="0" xfId="1">
      <alignment horizontal="center" vertical="center"/>
    </xf>
    <xf numFmtId="164" fontId="24" fillId="0" borderId="45" applyAlignment="1" pivotButton="0" quotePrefix="0" xfId="1">
      <alignment horizontal="left" vertical="center"/>
    </xf>
    <xf numFmtId="164" fontId="25" fillId="0" borderId="40" applyAlignment="1" pivotButton="0" quotePrefix="0" xfId="1">
      <alignment horizontal="center" vertical="center" wrapText="1" shrinkToFit="1"/>
    </xf>
    <xf numFmtId="164" fontId="27" fillId="0" borderId="13" applyAlignment="1" pivotButton="0" quotePrefix="0" xfId="1">
      <alignment vertical="center"/>
    </xf>
    <xf numFmtId="164" fontId="38" fillId="0" borderId="0" applyAlignment="1" pivotButton="0" quotePrefix="0" xfId="1">
      <alignment vertical="center"/>
    </xf>
    <xf numFmtId="169" fontId="28" fillId="6" borderId="4" applyAlignment="1" pivotButton="0" quotePrefix="0" xfId="3">
      <alignment vertical="center" shrinkToFit="1"/>
    </xf>
    <xf numFmtId="0" fontId="28" fillId="6" borderId="3" applyAlignment="1" pivotButton="0" quotePrefix="0" xfId="7">
      <alignment horizontal="left" vertical="center"/>
    </xf>
    <xf numFmtId="165" fontId="12" fillId="0" borderId="3" applyAlignment="1" pivotButton="0" quotePrefix="0" xfId="6">
      <alignment horizontal="right" vertical="center"/>
    </xf>
    <xf numFmtId="164" fontId="11" fillId="0" borderId="3" applyAlignment="1" pivotButton="0" quotePrefix="0" xfId="14">
      <alignment vertical="center"/>
    </xf>
    <xf numFmtId="164" fontId="11" fillId="0" borderId="3" applyAlignment="1" pivotButton="0" quotePrefix="0" xfId="14">
      <alignment vertical="center"/>
    </xf>
    <xf numFmtId="164" fontId="11" fillId="0" borderId="2" applyAlignment="1" pivotButton="0" quotePrefix="0" xfId="14">
      <alignment vertical="center"/>
    </xf>
    <xf numFmtId="164" fontId="22" fillId="0" borderId="6" applyAlignment="1" pivotButton="0" quotePrefix="0" xfId="1">
      <alignment horizontal="center" vertical="center" shrinkToFit="1"/>
    </xf>
    <xf numFmtId="164" fontId="22" fillId="0" borderId="7" applyAlignment="1" pivotButton="0" quotePrefix="0" xfId="1">
      <alignment horizontal="center" vertical="center" shrinkToFit="1"/>
    </xf>
    <xf numFmtId="164" fontId="22" fillId="0" borderId="8" applyAlignment="1" pivotButton="0" quotePrefix="0" xfId="1">
      <alignment horizontal="center" vertical="center" shrinkToFit="1"/>
    </xf>
    <xf numFmtId="164" fontId="22" fillId="0" borderId="11" applyAlignment="1" pivotButton="0" quotePrefix="0" xfId="1">
      <alignment horizontal="center" vertical="center" shrinkToFit="1"/>
    </xf>
    <xf numFmtId="164" fontId="22" fillId="0" borderId="1" applyAlignment="1" pivotButton="0" quotePrefix="0" xfId="1">
      <alignment horizontal="center" vertical="center" shrinkToFit="1"/>
    </xf>
    <xf numFmtId="164" fontId="22" fillId="0" borderId="12" applyAlignment="1" pivotButton="0" quotePrefix="0" xfId="1">
      <alignment horizontal="center" vertical="center" shrinkToFit="1"/>
    </xf>
    <xf numFmtId="164" fontId="22" fillId="0" borderId="2" applyAlignment="1" pivotButton="0" quotePrefix="0" xfId="1">
      <alignment horizontal="center" vertical="center" shrinkToFit="1"/>
    </xf>
    <xf numFmtId="164" fontId="22" fillId="0" borderId="9" applyAlignment="1" pivotButton="0" quotePrefix="0" xfId="1">
      <alignment horizontal="center" vertical="center" shrinkToFit="1"/>
    </xf>
    <xf numFmtId="0" fontId="34" fillId="0" borderId="2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vertical="center"/>
    </xf>
    <xf numFmtId="0" fontId="11" fillId="0" borderId="6" applyAlignment="1" pivotButton="0" quotePrefix="0" xfId="1">
      <alignment horizontal="center" vertical="center" shrinkToFit="1"/>
    </xf>
    <xf numFmtId="0" fontId="11" fillId="0" borderId="7" applyAlignment="1" pivotButton="0" quotePrefix="0" xfId="1">
      <alignment horizontal="center" vertical="center" shrinkToFit="1"/>
    </xf>
    <xf numFmtId="0" fontId="11" fillId="0" borderId="8" applyAlignment="1" pivotButton="0" quotePrefix="0" xfId="1">
      <alignment horizontal="center" vertical="center" shrinkToFit="1"/>
    </xf>
    <xf numFmtId="0" fontId="11" fillId="0" borderId="11" applyAlignment="1" pivotButton="0" quotePrefix="0" xfId="1">
      <alignment horizontal="center" vertical="center" shrinkToFit="1"/>
    </xf>
    <xf numFmtId="0" fontId="11" fillId="0" borderId="1" applyAlignment="1" pivotButton="0" quotePrefix="0" xfId="1">
      <alignment horizontal="center" vertical="center" shrinkToFit="1"/>
    </xf>
    <xf numFmtId="0" fontId="11" fillId="0" borderId="12" applyAlignment="1" pivotButton="0" quotePrefix="0" xfId="1">
      <alignment horizontal="center" vertical="center" shrinkToFit="1"/>
    </xf>
    <xf numFmtId="164" fontId="24" fillId="0" borderId="6" applyAlignment="1" pivotButton="0" quotePrefix="0" xfId="1">
      <alignment horizontal="center" vertical="center"/>
    </xf>
    <xf numFmtId="164" fontId="24" fillId="0" borderId="8" applyAlignment="1" pivotButton="0" quotePrefix="0" xfId="1">
      <alignment horizontal="center" vertical="center"/>
    </xf>
    <xf numFmtId="164" fontId="24" fillId="0" borderId="11" applyAlignment="1" pivotButton="0" quotePrefix="0" xfId="1">
      <alignment horizontal="center" vertical="center"/>
    </xf>
    <xf numFmtId="164" fontId="24" fillId="0" borderId="12" applyAlignment="1" pivotButton="0" quotePrefix="0" xfId="1">
      <alignment horizontal="center" vertical="center"/>
    </xf>
    <xf numFmtId="164" fontId="26" fillId="0" borderId="6" applyAlignment="1" pivotButton="0" quotePrefix="0" xfId="1">
      <alignment horizontal="center" vertical="center" shrinkToFit="1"/>
    </xf>
    <xf numFmtId="164" fontId="26" fillId="0" borderId="8" applyAlignment="1" pivotButton="0" quotePrefix="0" xfId="1">
      <alignment horizontal="center" vertical="center" shrinkToFit="1"/>
    </xf>
    <xf numFmtId="164" fontId="26" fillId="0" borderId="11" applyAlignment="1" pivotButton="0" quotePrefix="0" xfId="1">
      <alignment horizontal="center" vertical="center" shrinkToFit="1"/>
    </xf>
    <xf numFmtId="164" fontId="26" fillId="0" borderId="12" applyAlignment="1" pivotButton="0" quotePrefix="0" xfId="1">
      <alignment horizontal="center" vertical="center" shrinkToFit="1"/>
    </xf>
    <xf numFmtId="164" fontId="24" fillId="0" borderId="6" applyAlignment="1" pivotButton="0" quotePrefix="0" xfId="1">
      <alignment horizontal="center" vertical="center" shrinkToFit="1"/>
    </xf>
    <xf numFmtId="164" fontId="24" fillId="0" borderId="8" applyAlignment="1" pivotButton="0" quotePrefix="0" xfId="1">
      <alignment horizontal="center" vertical="center" shrinkToFit="1"/>
    </xf>
    <xf numFmtId="164" fontId="24" fillId="0" borderId="11" applyAlignment="1" pivotButton="0" quotePrefix="0" xfId="1">
      <alignment horizontal="center" vertical="center" shrinkToFit="1"/>
    </xf>
    <xf numFmtId="164" fontId="24" fillId="0" borderId="12" applyAlignment="1" pivotButton="0" quotePrefix="0" xfId="1">
      <alignment horizontal="center" vertical="center" shrinkToFit="1"/>
    </xf>
    <xf numFmtId="164" fontId="36" fillId="0" borderId="31" applyAlignment="1" pivotButton="0" quotePrefix="0" xfId="1">
      <alignment horizontal="center" vertical="center" shrinkToFit="1"/>
    </xf>
    <xf numFmtId="164" fontId="36" fillId="0" borderId="32" applyAlignment="1" pivotButton="0" quotePrefix="0" xfId="1">
      <alignment horizontal="center" vertical="center" shrinkToFit="1"/>
    </xf>
    <xf numFmtId="164" fontId="36" fillId="0" borderId="33" applyAlignment="1" pivotButton="0" quotePrefix="0" xfId="1">
      <alignment horizontal="center" vertical="center" shrinkToFit="1"/>
    </xf>
    <xf numFmtId="164" fontId="34" fillId="0" borderId="34" applyAlignment="1" pivotButton="0" quotePrefix="0" xfId="1">
      <alignment horizontal="center" vertical="center" shrinkToFit="1"/>
    </xf>
    <xf numFmtId="164" fontId="34" fillId="0" borderId="35" applyAlignment="1" pivotButton="0" quotePrefix="0" xfId="1">
      <alignment horizontal="center" vertical="center" shrinkToFit="1"/>
    </xf>
    <xf numFmtId="164" fontId="34" fillId="0" borderId="36" applyAlignment="1" pivotButton="0" quotePrefix="0" xfId="1">
      <alignment horizontal="center" vertical="center" shrinkToFit="1"/>
    </xf>
    <xf numFmtId="164" fontId="24" fillId="0" borderId="45" applyAlignment="1" pivotButton="0" quotePrefix="0" xfId="1">
      <alignment horizontal="center" vertical="center"/>
    </xf>
    <xf numFmtId="164" fontId="24" fillId="0" borderId="3" applyAlignment="1" pivotButton="0" quotePrefix="0" xfId="1">
      <alignment horizontal="center" vertical="center"/>
    </xf>
    <xf numFmtId="164" fontId="24" fillId="0" borderId="3" applyAlignment="1" pivotButton="0" quotePrefix="0" xfId="1">
      <alignment horizontal="center" vertical="center" shrinkToFit="1"/>
    </xf>
    <xf numFmtId="164" fontId="26" fillId="0" borderId="3" applyAlignment="1" pivotButton="0" quotePrefix="0" xfId="1">
      <alignment horizontal="center" vertical="center" shrinkToFit="1"/>
    </xf>
    <xf numFmtId="164" fontId="26" fillId="0" borderId="43" applyAlignment="1" pivotButton="0" quotePrefix="0" xfId="1">
      <alignment horizontal="center" vertical="center" shrinkToFit="1"/>
    </xf>
    <xf numFmtId="164" fontId="24" fillId="0" borderId="4" applyAlignment="1" pivotButton="0" quotePrefix="0" xfId="1">
      <alignment horizontal="center" vertical="center"/>
    </xf>
    <xf numFmtId="164" fontId="24" fillId="0" borderId="10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 shrinkToFit="1"/>
    </xf>
    <xf numFmtId="0" fontId="11" fillId="0" borderId="5" applyAlignment="1" pivotButton="0" quotePrefix="0" xfId="1">
      <alignment horizontal="center" vertical="center" shrinkToFit="1"/>
    </xf>
    <xf numFmtId="0" fontId="11" fillId="0" borderId="10" applyAlignment="1" pivotButton="0" quotePrefix="0" xfId="1">
      <alignment horizontal="center" vertical="center" shrinkToFit="1"/>
    </xf>
    <xf numFmtId="0" fontId="15" fillId="0" borderId="0" applyAlignment="1" pivotButton="0" quotePrefix="0" xfId="2">
      <alignment horizontal="center" vertical="center"/>
    </xf>
    <xf numFmtId="173" fontId="4" fillId="0" borderId="1" applyAlignment="1" pivotButton="0" quotePrefix="0" xfId="2">
      <alignment horizontal="center" vertical="center"/>
    </xf>
    <xf numFmtId="164" fontId="22" fillId="0" borderId="2" applyAlignment="1" pivotButton="0" quotePrefix="0" xfId="1">
      <alignment horizontal="center" vertical="center"/>
    </xf>
    <xf numFmtId="164" fontId="22" fillId="0" borderId="9" applyAlignment="1" pivotButton="0" quotePrefix="0" xfId="1">
      <alignment horizontal="center" vertical="center"/>
    </xf>
    <xf numFmtId="164" fontId="33" fillId="8" borderId="23" applyAlignment="1" pivotButton="0" quotePrefix="0" xfId="1">
      <alignment horizontal="center" vertical="center" wrapText="1" shrinkToFit="1"/>
    </xf>
    <xf numFmtId="0" fontId="12" fillId="8" borderId="39" applyAlignment="1" pivotButton="0" quotePrefix="0" xfId="2">
      <alignment horizontal="center" vertical="center"/>
    </xf>
    <xf numFmtId="0" fontId="12" fillId="8" borderId="5" applyAlignment="1" pivotButton="0" quotePrefix="0" xfId="2">
      <alignment horizontal="center" vertical="center"/>
    </xf>
    <xf numFmtId="0" fontId="12" fillId="8" borderId="10" applyAlignment="1" pivotButton="0" quotePrefix="0" xfId="2">
      <alignment horizontal="center" vertical="center"/>
    </xf>
    <xf numFmtId="0" fontId="12" fillId="8" borderId="4" applyAlignment="1" pivotButton="0" quotePrefix="0" xfId="2">
      <alignment horizontal="center" vertical="center"/>
    </xf>
    <xf numFmtId="164" fontId="12" fillId="8" borderId="2" applyAlignment="1" pivotButton="0" quotePrefix="0" xfId="1">
      <alignment horizontal="center" vertical="center"/>
    </xf>
    <xf numFmtId="164" fontId="12" fillId="8" borderId="9" applyAlignment="1" pivotButton="0" quotePrefix="0" xfId="1">
      <alignment horizontal="center" vertical="center"/>
    </xf>
    <xf numFmtId="0" fontId="12" fillId="8" borderId="2" applyAlignment="1" pivotButton="0" quotePrefix="0" xfId="2">
      <alignment horizontal="center" vertical="center"/>
    </xf>
    <xf numFmtId="0" fontId="12" fillId="8" borderId="9" applyAlignment="1" pivotButton="0" quotePrefix="0" xfId="2">
      <alignment horizontal="center" vertical="center"/>
    </xf>
    <xf numFmtId="164" fontId="24" fillId="0" borderId="4" applyAlignment="1" pivotButton="0" quotePrefix="0" xfId="1">
      <alignment horizontal="center" vertical="center" shrinkToFit="1"/>
    </xf>
    <xf numFmtId="164" fontId="24" fillId="0" borderId="10" applyAlignment="1" pivotButton="0" quotePrefix="0" xfId="1">
      <alignment horizontal="center" vertical="center" shrinkToFit="1"/>
    </xf>
    <xf numFmtId="164" fontId="26" fillId="0" borderId="4" applyAlignment="1" pivotButton="0" quotePrefix="0" xfId="1">
      <alignment horizontal="center" vertical="center" shrinkToFit="1"/>
    </xf>
    <xf numFmtId="164" fontId="26" fillId="0" borderId="38" applyAlignment="1" pivotButton="0" quotePrefix="0" xfId="1">
      <alignment horizontal="center" vertical="center" shrinkToFit="1"/>
    </xf>
    <xf numFmtId="164" fontId="24" fillId="0" borderId="39" applyAlignment="1" pivotButton="0" quotePrefix="0" xfId="1">
      <alignment horizontal="center" vertical="center"/>
    </xf>
    <xf numFmtId="164" fontId="24" fillId="0" borderId="5" applyAlignment="1" pivotButton="0" quotePrefix="0" xfId="1">
      <alignment horizontal="center" vertical="center"/>
    </xf>
    <xf numFmtId="0" fontId="4" fillId="0" borderId="1" applyAlignment="1" pivotButton="0" quotePrefix="0" xfId="2">
      <alignment horizontal="center" vertical="center"/>
    </xf>
    <xf numFmtId="0" fontId="11" fillId="0" borderId="3" applyAlignment="1" pivotButton="0" quotePrefix="0" xfId="2">
      <alignment horizontal="center" vertical="center"/>
    </xf>
    <xf numFmtId="164" fontId="12" fillId="0" borderId="3" applyAlignment="1" pivotButton="0" quotePrefix="0" xfId="1">
      <alignment horizontal="center" vertical="center" wrapText="1"/>
    </xf>
    <xf numFmtId="0" fontId="12" fillId="10" borderId="37" applyAlignment="1" pivotButton="0" quotePrefix="0" xfId="2">
      <alignment horizontal="center" vertical="center"/>
    </xf>
    <xf numFmtId="0" fontId="12" fillId="10" borderId="41" applyAlignment="1" pivotButton="0" quotePrefix="0" xfId="2">
      <alignment horizontal="center" vertical="center"/>
    </xf>
    <xf numFmtId="164" fontId="26" fillId="8" borderId="23" applyAlignment="1" pivotButton="0" quotePrefix="0" xfId="1">
      <alignment horizontal="center" vertical="center" shrinkToFit="1"/>
    </xf>
    <xf numFmtId="164" fontId="24" fillId="8" borderId="25" applyAlignment="1" pivotButton="0" quotePrefix="0" xfId="1">
      <alignment horizontal="center" vertical="center"/>
    </xf>
    <xf numFmtId="164" fontId="24" fillId="8" borderId="24" applyAlignment="1" pivotButton="0" quotePrefix="0" xfId="1">
      <alignment horizontal="center" vertical="center"/>
    </xf>
    <xf numFmtId="14" fontId="4" fillId="0" borderId="1" applyAlignment="1" pivotButton="0" quotePrefix="0" xfId="2">
      <alignment horizontal="center" vertical="center"/>
    </xf>
    <xf numFmtId="0" fontId="4" fillId="0" borderId="1" applyAlignment="1" pivotButton="0" quotePrefix="0" xfId="2">
      <alignment horizontal="right" vertical="center"/>
    </xf>
    <xf numFmtId="164" fontId="12" fillId="0" borderId="10" applyAlignment="1" pivotButton="0" quotePrefix="0" xfId="1">
      <alignment horizontal="center" vertical="center" wrapText="1"/>
    </xf>
    <xf numFmtId="164" fontId="12" fillId="0" borderId="10" applyAlignment="1" pivotButton="0" quotePrefix="0" xfId="1">
      <alignment horizontal="center" vertical="center"/>
    </xf>
    <xf numFmtId="0" fontId="12" fillId="8" borderId="3" applyAlignment="1" pivotButton="0" quotePrefix="0" xfId="2">
      <alignment horizontal="center" vertical="center"/>
    </xf>
    <xf numFmtId="0" fontId="12" fillId="8" borderId="43" applyAlignment="1" pivotButton="0" quotePrefix="0" xfId="2">
      <alignment horizontal="center" vertical="center"/>
    </xf>
    <xf numFmtId="0" fontId="12" fillId="0" borderId="14" applyAlignment="1" pivotButton="0" quotePrefix="0" xfId="2">
      <alignment horizontal="center" vertical="center"/>
    </xf>
    <xf numFmtId="0" fontId="12" fillId="0" borderId="15" applyAlignment="1" pivotButton="0" quotePrefix="0" xfId="2">
      <alignment horizontal="center" vertical="center"/>
    </xf>
    <xf numFmtId="0" fontId="12" fillId="8" borderId="6" applyAlignment="1" pivotButton="0" quotePrefix="0" xfId="2">
      <alignment horizontal="center" vertical="center"/>
    </xf>
    <xf numFmtId="0" fontId="12" fillId="8" borderId="7" applyAlignment="1" pivotButton="0" quotePrefix="0" xfId="2">
      <alignment horizontal="center" vertical="center"/>
    </xf>
    <xf numFmtId="164" fontId="24" fillId="8" borderId="23" applyAlignment="1" pivotButton="0" quotePrefix="0" xfId="1">
      <alignment horizontal="center" vertical="center" shrinkToFit="1"/>
    </xf>
    <xf numFmtId="0" fontId="11" fillId="8" borderId="25" applyAlignment="1" pivotButton="0" quotePrefix="0" xfId="1">
      <alignment horizontal="center" vertical="center" shrinkToFit="1"/>
    </xf>
    <xf numFmtId="0" fontId="11" fillId="8" borderId="26" applyAlignment="1" pivotButton="0" quotePrefix="0" xfId="1">
      <alignment horizontal="center" vertical="center" shrinkToFit="1"/>
    </xf>
    <xf numFmtId="0" fontId="11" fillId="8" borderId="24" applyAlignment="1" pivotButton="0" quotePrefix="0" xfId="1">
      <alignment horizontal="center" vertical="center" shrinkToFit="1"/>
    </xf>
    <xf numFmtId="164" fontId="4" fillId="0" borderId="0" applyAlignment="1" pivotButton="0" quotePrefix="0" xfId="1">
      <alignment horizontal="left" vertical="center" wrapText="1"/>
    </xf>
    <xf numFmtId="164" fontId="32" fillId="8" borderId="25" applyAlignment="1" pivotButton="0" quotePrefix="0" xfId="1">
      <alignment horizontal="center" vertical="center"/>
    </xf>
    <xf numFmtId="164" fontId="32" fillId="8" borderId="26" applyAlignment="1" pivotButton="0" quotePrefix="0" xfId="1">
      <alignment horizontal="center" vertical="center"/>
    </xf>
    <xf numFmtId="164" fontId="32" fillId="8" borderId="24" applyAlignment="1" pivotButton="0" quotePrefix="0" xfId="1">
      <alignment horizontal="center" vertical="center"/>
    </xf>
    <xf numFmtId="0" fontId="12" fillId="8" borderId="6" applyAlignment="1" pivotButton="0" quotePrefix="0" xfId="2">
      <alignment horizontal="center" vertical="center" wrapText="1"/>
    </xf>
    <xf numFmtId="0" fontId="12" fillId="8" borderId="8" applyAlignment="1" pivotButton="0" quotePrefix="0" xfId="2">
      <alignment horizontal="center" vertical="center"/>
    </xf>
    <xf numFmtId="0" fontId="12" fillId="8" borderId="11" applyAlignment="1" pivotButton="0" quotePrefix="0" xfId="2">
      <alignment horizontal="center" vertical="center"/>
    </xf>
    <xf numFmtId="0" fontId="12" fillId="8" borderId="1" applyAlignment="1" pivotButton="0" quotePrefix="0" xfId="2">
      <alignment horizontal="center" vertical="center"/>
    </xf>
    <xf numFmtId="0" fontId="12" fillId="8" borderId="12" applyAlignment="1" pivotButton="0" quotePrefix="0" xfId="2">
      <alignment horizontal="center" vertical="center"/>
    </xf>
    <xf numFmtId="0" fontId="12" fillId="10" borderId="4" applyAlignment="1" pivotButton="0" quotePrefix="0" xfId="2">
      <alignment horizontal="center" vertical="center"/>
    </xf>
    <xf numFmtId="0" fontId="12" fillId="10" borderId="38" applyAlignment="1" pivotButton="0" quotePrefix="0" xfId="2">
      <alignment horizontal="center" vertical="center"/>
    </xf>
    <xf numFmtId="164" fontId="12" fillId="8" borderId="7" applyAlignment="1" pivotButton="0" quotePrefix="0" xfId="3">
      <alignment horizontal="center" vertical="center"/>
    </xf>
    <xf numFmtId="164" fontId="12" fillId="8" borderId="1" applyAlignment="1" pivotButton="0" quotePrefix="0" xfId="3">
      <alignment horizontal="center" vertical="center"/>
    </xf>
    <xf numFmtId="0" fontId="12" fillId="8" borderId="38" applyAlignment="1" pivotButton="0" quotePrefix="0" xfId="2">
      <alignment horizontal="center" vertical="center"/>
    </xf>
    <xf numFmtId="165" fontId="3" fillId="0" borderId="3" applyAlignment="1" pivotButton="0" quotePrefix="0" xfId="6">
      <alignment horizontal="center" vertical="center" wrapText="1"/>
    </xf>
    <xf numFmtId="165" fontId="10" fillId="0" borderId="4" applyAlignment="1" pivotButton="0" quotePrefix="0" xfId="6">
      <alignment horizontal="left" vertical="center" wrapText="1"/>
    </xf>
    <xf numFmtId="165" fontId="10" fillId="0" borderId="5" applyAlignment="1" pivotButton="0" quotePrefix="0" xfId="6">
      <alignment horizontal="left" vertical="center"/>
    </xf>
    <xf numFmtId="165" fontId="10" fillId="0" borderId="10" applyAlignment="1" pivotButton="0" quotePrefix="0" xfId="6">
      <alignment horizontal="left" vertical="center"/>
    </xf>
    <xf numFmtId="0" fontId="12" fillId="4" borderId="3" applyAlignment="1" pivotButton="0" quotePrefix="0" xfId="4">
      <alignment horizontal="center" vertical="center"/>
    </xf>
    <xf numFmtId="165" fontId="3" fillId="0" borderId="4" applyAlignment="1" pivotButton="0" quotePrefix="0" xfId="6">
      <alignment horizontal="center" vertical="center" wrapText="1"/>
    </xf>
    <xf numFmtId="165" fontId="3" fillId="0" borderId="5" applyAlignment="1" pivotButton="0" quotePrefix="0" xfId="6">
      <alignment horizontal="center" vertical="center" wrapText="1"/>
    </xf>
    <xf numFmtId="165" fontId="3" fillId="0" borderId="10" applyAlignment="1" pivotButton="0" quotePrefix="0" xfId="6">
      <alignment horizontal="center" vertical="center" wrapText="1"/>
    </xf>
    <xf numFmtId="0" fontId="23" fillId="0" borderId="6" applyAlignment="1" pivotButton="0" quotePrefix="0" xfId="4">
      <alignment horizontal="center" wrapText="1"/>
    </xf>
    <xf numFmtId="0" fontId="16" fillId="0" borderId="7" applyAlignment="1" pivotButton="0" quotePrefix="0" xfId="4">
      <alignment horizontal="center"/>
    </xf>
    <xf numFmtId="0" fontId="16" fillId="0" borderId="8" applyAlignment="1" pivotButton="0" quotePrefix="0" xfId="4">
      <alignment horizontal="center"/>
    </xf>
    <xf numFmtId="0" fontId="16" fillId="0" borderId="11" applyAlignment="1" pivotButton="0" quotePrefix="0" xfId="4">
      <alignment horizontal="center"/>
    </xf>
    <xf numFmtId="0" fontId="16" fillId="0" borderId="1" applyAlignment="1" pivotButton="0" quotePrefix="0" xfId="4">
      <alignment horizontal="center"/>
    </xf>
    <xf numFmtId="0" fontId="16" fillId="0" borderId="12" applyAlignment="1" pivotButton="0" quotePrefix="0" xfId="4">
      <alignment horizontal="center"/>
    </xf>
    <xf numFmtId="0" fontId="12" fillId="0" borderId="3" applyAlignment="1" pivotButton="0" quotePrefix="0" xfId="4">
      <alignment horizontal="center" vertical="center" wrapText="1"/>
    </xf>
    <xf numFmtId="0" fontId="4" fillId="2" borderId="4" applyAlignment="1" pivotButton="0" quotePrefix="0" xfId="4">
      <alignment horizontal="center" vertical="center"/>
    </xf>
    <xf numFmtId="0" fontId="4" fillId="2" borderId="10" applyAlignment="1" pivotButton="0" quotePrefix="0" xfId="4">
      <alignment horizontal="center" vertical="center"/>
    </xf>
    <xf numFmtId="0" fontId="11" fillId="2" borderId="3" applyAlignment="1" pivotButton="0" quotePrefix="0" xfId="4">
      <alignment horizontal="center" vertical="center"/>
    </xf>
    <xf numFmtId="164" fontId="11" fillId="2" borderId="4" applyAlignment="1" pivotButton="0" quotePrefix="0" xfId="1">
      <alignment horizontal="center" vertical="center"/>
    </xf>
    <xf numFmtId="164" fontId="11" fillId="2" borderId="10" applyAlignment="1" pivotButton="0" quotePrefix="0" xfId="1">
      <alignment horizontal="center" vertical="center"/>
    </xf>
    <xf numFmtId="0" fontId="27" fillId="2" borderId="3" applyAlignment="1" pivotButton="0" quotePrefix="0" xfId="4">
      <alignment horizontal="center" vertical="center"/>
    </xf>
    <xf numFmtId="14" fontId="11" fillId="2" borderId="4" applyAlignment="1" pivotButton="0" quotePrefix="1" xfId="6">
      <alignment horizontal="center" vertical="center"/>
    </xf>
    <xf numFmtId="14" fontId="11" fillId="2" borderId="5" applyAlignment="1" pivotButton="0" quotePrefix="1" xfId="6">
      <alignment horizontal="center" vertical="center"/>
    </xf>
    <xf numFmtId="14" fontId="11" fillId="2" borderId="10" applyAlignment="1" pivotButton="0" quotePrefix="1" xfId="6">
      <alignment horizontal="center" vertical="center"/>
    </xf>
    <xf numFmtId="17" fontId="11" fillId="2" borderId="4" applyAlignment="1" pivotButton="0" quotePrefix="0" xfId="4">
      <alignment horizontal="center" vertical="center"/>
    </xf>
    <xf numFmtId="17" fontId="11" fillId="2" borderId="10" applyAlignment="1" pivotButton="0" quotePrefix="0" xfId="4">
      <alignment horizontal="center" vertical="center"/>
    </xf>
    <xf numFmtId="14" fontId="22" fillId="2" borderId="4" applyAlignment="1" pivotButton="0" quotePrefix="1" xfId="6">
      <alignment horizontal="center" vertical="center"/>
    </xf>
    <xf numFmtId="14" fontId="22" fillId="2" borderId="5" applyAlignment="1" pivotButton="0" quotePrefix="1" xfId="6">
      <alignment horizontal="center" vertical="center"/>
    </xf>
    <xf numFmtId="14" fontId="22" fillId="2" borderId="10" applyAlignment="1" pivotButton="0" quotePrefix="1" xfId="6">
      <alignment horizontal="center" vertical="center"/>
    </xf>
    <xf numFmtId="0" fontId="11" fillId="2" borderId="4" applyAlignment="1" pivotButton="0" quotePrefix="0" xfId="4">
      <alignment horizontal="center" vertical="center"/>
    </xf>
    <xf numFmtId="0" fontId="11" fillId="2" borderId="5" applyAlignment="1" pivotButton="0" quotePrefix="0" xfId="4">
      <alignment horizontal="center" vertical="center"/>
    </xf>
    <xf numFmtId="0" fontId="11" fillId="2" borderId="10" applyAlignment="1" pivotButton="0" quotePrefix="0" xfId="4">
      <alignment horizontal="center" vertical="center"/>
    </xf>
    <xf numFmtId="0" fontId="12" fillId="0" borderId="3" applyAlignment="1" pivotButton="0" quotePrefix="0" xfId="10">
      <alignment horizontal="center" vertical="center" wrapText="1"/>
    </xf>
    <xf numFmtId="0" fontId="11" fillId="2" borderId="3" applyAlignment="1" pivotButton="0" quotePrefix="0" xfId="10">
      <alignment horizontal="center" vertical="center"/>
    </xf>
    <xf numFmtId="0" fontId="11" fillId="2" borderId="3" applyAlignment="1" pivotButton="0" quotePrefix="0" xfId="10">
      <alignment horizontal="center" vertical="center" shrinkToFit="1"/>
    </xf>
    <xf numFmtId="165" fontId="18" fillId="0" borderId="3" applyAlignment="1" pivotButton="0" quotePrefix="0" xfId="6">
      <alignment horizontal="center" vertical="center" wrapText="1"/>
    </xf>
    <xf numFmtId="165" fontId="11" fillId="0" borderId="3" applyAlignment="1" pivotButton="0" quotePrefix="0" xfId="6">
      <alignment horizontal="center" vertical="center"/>
    </xf>
    <xf numFmtId="0" fontId="3" fillId="0" borderId="3" applyAlignment="1" pivotButton="0" quotePrefix="0" xfId="10">
      <alignment horizontal="center" vertical="center" wrapText="1"/>
    </xf>
    <xf numFmtId="0" fontId="11" fillId="0" borderId="3" applyAlignment="1" pivotButton="0" quotePrefix="0" xfId="10">
      <alignment horizontal="center" vertical="center" wrapText="1"/>
    </xf>
    <xf numFmtId="164" fontId="4" fillId="0" borderId="0" applyAlignment="1" pivotButton="0" quotePrefix="0" xfId="1">
      <alignment vertical="center"/>
    </xf>
    <xf numFmtId="164" fontId="0" fillId="0" borderId="0" applyAlignment="1" pivotButton="0" quotePrefix="0" xfId="1">
      <alignment horizontal="center" vertical="center"/>
    </xf>
    <xf numFmtId="164" fontId="4" fillId="0" borderId="0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164" fontId="14" fillId="0" borderId="0" applyAlignment="1" pivotButton="0" quotePrefix="0" xfId="1">
      <alignment vertical="center"/>
    </xf>
    <xf numFmtId="164" fontId="31" fillId="0" borderId="0" applyAlignment="1" pivotButton="0" quotePrefix="0" xfId="1">
      <alignment horizontal="left" vertical="center"/>
    </xf>
    <xf numFmtId="164" fontId="8" fillId="0" borderId="1" applyAlignment="1" pivotButton="0" quotePrefix="0" xfId="1">
      <alignment vertical="center"/>
    </xf>
    <xf numFmtId="0" fontId="0" fillId="0" borderId="1" pivotButton="0" quotePrefix="0" xfId="0"/>
    <xf numFmtId="173" fontId="4" fillId="0" borderId="1" applyAlignment="1" pivotButton="0" quotePrefix="0" xfId="2">
      <alignment horizontal="center" vertical="center"/>
    </xf>
    <xf numFmtId="164" fontId="12" fillId="8" borderId="3" applyAlignment="1" pivotButton="0" quotePrefix="0" xfId="1">
      <alignment horizontal="center" vertical="center"/>
    </xf>
    <xf numFmtId="0" fontId="0" fillId="0" borderId="7" pivotButton="0" quotePrefix="0" xfId="0"/>
    <xf numFmtId="0" fontId="12" fillId="10" borderId="45" applyAlignment="1" pivotButton="0" quotePrefix="0" xfId="2">
      <alignment horizontal="center" vertical="center"/>
    </xf>
    <xf numFmtId="0" fontId="12" fillId="10" borderId="43" applyAlignment="1" pivotButton="0" quotePrefix="0" xfId="2">
      <alignment horizontal="center" vertical="center"/>
    </xf>
    <xf numFmtId="0" fontId="0" fillId="0" borderId="38" pivotButton="0" quotePrefix="0" xfId="0"/>
    <xf numFmtId="164" fontId="12" fillId="8" borderId="5" applyAlignment="1" pivotButton="0" quotePrefix="0" xfId="3">
      <alignment horizontal="center" vertical="center"/>
    </xf>
    <xf numFmtId="0" fontId="12" fillId="8" borderId="47" applyAlignment="1" pivotButton="0" quotePrefix="0" xfId="2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12" fillId="8" borderId="3" applyAlignment="1" pivotButton="0" quotePrefix="0" xfId="2">
      <alignment horizontal="center" vertical="center" wrapText="1"/>
    </xf>
    <xf numFmtId="164" fontId="12" fillId="0" borderId="10" applyAlignment="1" pivotButton="0" quotePrefix="0" xfId="1">
      <alignment horizontal="center" vertical="center" wrapText="1"/>
    </xf>
    <xf numFmtId="164" fontId="12" fillId="0" borderId="3" applyAlignment="1" pivotButton="0" quotePrefix="0" xfId="1">
      <alignment horizontal="center" vertical="center" wrapText="1"/>
    </xf>
    <xf numFmtId="0" fontId="0" fillId="0" borderId="9" pivotButton="0" quotePrefix="0" xfId="0"/>
    <xf numFmtId="0" fontId="0" fillId="0" borderId="41" pivotButton="0" quotePrefix="0" xfId="0"/>
    <xf numFmtId="0" fontId="12" fillId="8" borderId="45" applyAlignment="1" pivotButton="0" quotePrefix="0" xfId="2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164" fontId="33" fillId="0" borderId="3" applyAlignment="1" pivotButton="0" quotePrefix="0" xfId="1">
      <alignment horizontal="left" vertical="center"/>
    </xf>
    <xf numFmtId="164" fontId="25" fillId="0" borderId="17" applyAlignment="1" pivotButton="0" quotePrefix="0" xfId="1">
      <alignment horizontal="center" vertical="center" wrapText="1" shrinkToFit="1"/>
    </xf>
    <xf numFmtId="164" fontId="25" fillId="0" borderId="44" applyAlignment="1" pivotButton="0" quotePrefix="0" xfId="1">
      <alignment horizontal="center" vertical="center" wrapText="1" shrinkToFit="1"/>
    </xf>
    <xf numFmtId="164" fontId="24" fillId="0" borderId="41" applyAlignment="1" pivotButton="0" quotePrefix="0" xfId="1">
      <alignment vertical="center"/>
    </xf>
    <xf numFmtId="164" fontId="24" fillId="0" borderId="4" applyAlignment="1" pivotButton="0" quotePrefix="0" xfId="1">
      <alignment horizontal="center" vertical="center"/>
    </xf>
    <xf numFmtId="164" fontId="21" fillId="0" borderId="43" applyAlignment="1" pivotButton="0" quotePrefix="0" xfId="1">
      <alignment vertical="center"/>
    </xf>
    <xf numFmtId="174" fontId="25" fillId="0" borderId="5" applyAlignment="1" pivotButton="0" quotePrefix="0" xfId="1">
      <alignment horizontal="center" vertical="center"/>
    </xf>
    <xf numFmtId="164" fontId="24" fillId="0" borderId="45" applyAlignment="1" pivotButton="0" quotePrefix="0" xfId="1">
      <alignment horizontal="center" vertical="center"/>
    </xf>
    <xf numFmtId="164" fontId="24" fillId="0" borderId="3" applyAlignment="1" pivotButton="0" quotePrefix="0" xfId="1">
      <alignment horizontal="center" vertical="center" shrinkToFit="1"/>
    </xf>
    <xf numFmtId="164" fontId="26" fillId="0" borderId="3" applyAlignment="1" pivotButton="0" quotePrefix="0" xfId="1">
      <alignment horizontal="center" vertical="center" shrinkToFit="1"/>
    </xf>
    <xf numFmtId="164" fontId="24" fillId="0" borderId="3" applyAlignment="1" pivotButton="0" quotePrefix="0" xfId="1">
      <alignment horizontal="center" vertical="center"/>
    </xf>
    <xf numFmtId="0" fontId="11" fillId="0" borderId="9" applyAlignment="1" pivotButton="0" quotePrefix="0" xfId="1">
      <alignment horizontal="center" vertical="center" shrinkToFit="1"/>
    </xf>
    <xf numFmtId="164" fontId="11" fillId="0" borderId="10" applyAlignment="1" pivotButton="0" quotePrefix="0" xfId="1">
      <alignment horizontal="center" vertical="center"/>
    </xf>
    <xf numFmtId="172" fontId="11" fillId="0" borderId="10" applyAlignment="1" pivotButton="0" quotePrefix="0" xfId="1">
      <alignment horizontal="center" vertical="center"/>
    </xf>
    <xf numFmtId="164" fontId="24" fillId="0" borderId="3" applyAlignment="1" pivotButton="0" quotePrefix="0" xfId="1">
      <alignment vertical="center"/>
    </xf>
    <xf numFmtId="0" fontId="11" fillId="0" borderId="3" applyAlignment="1" pivotButton="0" quotePrefix="0" xfId="1">
      <alignment horizontal="center" vertical="center" shrinkToFit="1"/>
    </xf>
    <xf numFmtId="164" fontId="21" fillId="0" borderId="3" applyAlignment="1" pivotButton="0" quotePrefix="0" xfId="1">
      <alignment vertical="center"/>
    </xf>
    <xf numFmtId="164" fontId="11" fillId="0" borderId="4" applyAlignment="1" pivotButton="0" quotePrefix="0" xfId="1">
      <alignment horizontal="center" vertical="center"/>
    </xf>
    <xf numFmtId="164" fontId="24" fillId="0" borderId="45" applyAlignment="1" pivotButton="0" quotePrefix="0" xfId="1">
      <alignment horizontal="left" vertical="center"/>
    </xf>
    <xf numFmtId="164" fontId="26" fillId="0" borderId="43" applyAlignment="1" pivotButton="0" quotePrefix="0" xfId="1">
      <alignment horizontal="center" vertical="center" shrinkToFit="1"/>
    </xf>
    <xf numFmtId="164" fontId="32" fillId="8" borderId="23" applyAlignment="1" pivotButton="0" quotePrefix="0" xfId="1">
      <alignment horizontal="center" vertical="center"/>
    </xf>
    <xf numFmtId="164" fontId="12" fillId="8" borderId="23" applyAlignment="1" pivotButton="0" quotePrefix="0" xfId="1">
      <alignment horizontal="center" vertical="center"/>
    </xf>
    <xf numFmtId="164" fontId="33" fillId="8" borderId="23" applyAlignment="1" pivotButton="0" quotePrefix="0" xfId="1">
      <alignment horizontal="center" vertical="center" wrapText="1" shrinkToFit="1"/>
    </xf>
    <xf numFmtId="0" fontId="0" fillId="0" borderId="26" pivotButton="0" quotePrefix="0" xfId="0"/>
    <xf numFmtId="0" fontId="0" fillId="0" borderId="24" pivotButton="0" quotePrefix="0" xfId="0"/>
    <xf numFmtId="164" fontId="33" fillId="8" borderId="23" applyAlignment="1" pivotButton="0" quotePrefix="0" xfId="1">
      <alignment horizontal="center" vertical="center"/>
    </xf>
    <xf numFmtId="164" fontId="24" fillId="8" borderId="23" applyAlignment="1" pivotButton="0" quotePrefix="0" xfId="1">
      <alignment horizontal="center" vertical="center" shrinkToFit="1"/>
    </xf>
    <xf numFmtId="164" fontId="26" fillId="8" borderId="23" applyAlignment="1" pivotButton="0" quotePrefix="0" xfId="1">
      <alignment horizontal="center" vertical="center" shrinkToFit="1"/>
    </xf>
    <xf numFmtId="164" fontId="24" fillId="8" borderId="23" applyAlignment="1" pivotButton="0" quotePrefix="0" xfId="1">
      <alignment horizontal="center" vertical="center"/>
    </xf>
    <xf numFmtId="0" fontId="11" fillId="8" borderId="23" applyAlignment="1" pivotButton="0" quotePrefix="0" xfId="1">
      <alignment horizontal="center" vertical="center" shrinkToFit="1"/>
    </xf>
    <xf numFmtId="164" fontId="11" fillId="0" borderId="0" applyAlignment="1" pivotButton="0" quotePrefix="0" xfId="1">
      <alignment horizontal="center" vertical="center"/>
    </xf>
    <xf numFmtId="0" fontId="34" fillId="0" borderId="3" applyAlignment="1" pivotButton="0" quotePrefix="0" xfId="0">
      <alignment horizontal="center" vertical="center"/>
    </xf>
    <xf numFmtId="164" fontId="22" fillId="0" borderId="3" applyAlignment="1" pivotButton="0" quotePrefix="0" xfId="1">
      <alignment horizontal="center" vertical="center" shrinkToFit="1"/>
    </xf>
    <xf numFmtId="164" fontId="36" fillId="0" borderId="30" applyAlignment="1" pivotButton="0" quotePrefix="0" xfId="1">
      <alignment horizontal="center" vertical="center" shrinkToFit="1"/>
    </xf>
    <xf numFmtId="0" fontId="0" fillId="0" borderId="32" pivotButton="0" quotePrefix="0" xfId="0"/>
    <xf numFmtId="0" fontId="0" fillId="0" borderId="33" pivotButton="0" quotePrefix="0" xfId="0"/>
    <xf numFmtId="164" fontId="34" fillId="0" borderId="9" applyAlignment="1" pivotButton="0" quotePrefix="0" xfId="1">
      <alignment horizontal="center" vertical="center" shrinkToFit="1"/>
    </xf>
    <xf numFmtId="164" fontId="34" fillId="0" borderId="48" applyAlignment="1" pivotButton="0" quotePrefix="0" xfId="1">
      <alignment horizontal="center" vertical="center" shrinkToFit="1"/>
    </xf>
    <xf numFmtId="0" fontId="0" fillId="0" borderId="35" pivotButton="0" quotePrefix="0" xfId="0"/>
    <xf numFmtId="0" fontId="0" fillId="0" borderId="36" pivotButton="0" quotePrefix="0" xfId="0"/>
    <xf numFmtId="164" fontId="25" fillId="0" borderId="30" applyAlignment="1" pivotButton="0" quotePrefix="0" xfId="1">
      <alignment horizontal="center" vertical="center" shrinkToFit="1"/>
    </xf>
    <xf numFmtId="164" fontId="22" fillId="0" borderId="3" applyAlignment="1" pivotButton="0" quotePrefix="0" xfId="1">
      <alignment horizontal="center" vertical="center"/>
    </xf>
    <xf numFmtId="164" fontId="37" fillId="0" borderId="30" applyAlignment="1" pivotButton="0" quotePrefix="0" xfId="1">
      <alignment horizontal="center" vertical="center" shrinkToFit="1"/>
    </xf>
    <xf numFmtId="164" fontId="11" fillId="0" borderId="0" applyAlignment="1" pivotButton="0" quotePrefix="0" xfId="3">
      <alignment horizontal="center" vertical="center"/>
    </xf>
    <xf numFmtId="164" fontId="11" fillId="0" borderId="7" applyAlignment="1" pivotButton="0" quotePrefix="0" xfId="3">
      <alignment horizontal="center" vertical="center"/>
    </xf>
    <xf numFmtId="164" fontId="11" fillId="0" borderId="5" applyAlignment="1" pivotButton="0" quotePrefix="0" xfId="3">
      <alignment horizontal="center" vertical="center"/>
    </xf>
    <xf numFmtId="164" fontId="11" fillId="0" borderId="5" applyAlignment="1" pivotButton="0" quotePrefix="0" xfId="3">
      <alignment vertical="center"/>
    </xf>
    <xf numFmtId="164" fontId="11" fillId="0" borderId="5" applyAlignment="1" pivotButton="0" quotePrefix="0" xfId="3">
      <alignment vertical="center" shrinkToFit="1"/>
    </xf>
    <xf numFmtId="164" fontId="11" fillId="0" borderId="7" applyAlignment="1" pivotButton="0" quotePrefix="0" xfId="3">
      <alignment vertical="center" shrinkToFit="1"/>
    </xf>
    <xf numFmtId="164" fontId="4" fillId="0" borderId="0" applyAlignment="1" pivotButton="0" quotePrefix="0" xfId="1">
      <alignment horizontal="left" vertical="center" wrapText="1"/>
    </xf>
    <xf numFmtId="164" fontId="22" fillId="0" borderId="0" applyAlignment="1" pivotButton="0" quotePrefix="0" xfId="2">
      <alignment vertical="center"/>
    </xf>
    <xf numFmtId="164" fontId="22" fillId="0" borderId="0" applyAlignment="1" pivotButton="0" quotePrefix="0" xfId="3">
      <alignment vertical="center"/>
    </xf>
    <xf numFmtId="164" fontId="35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 wrapText="1"/>
    </xf>
    <xf numFmtId="0" fontId="0" fillId="0" borderId="15" pivotButton="0" quotePrefix="0" xfId="0"/>
    <xf numFmtId="173" fontId="4" fillId="0" borderId="0" applyAlignment="1" pivotButton="0" quotePrefix="0" xfId="2">
      <alignment vertical="center"/>
    </xf>
    <xf numFmtId="173" fontId="22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0" fontId="0" fillId="0" borderId="14" pivotButton="0" quotePrefix="0" xfId="0"/>
    <xf numFmtId="164" fontId="11" fillId="0" borderId="0" applyAlignment="1" pivotButton="0" quotePrefix="0" xfId="1">
      <alignment vertical="center"/>
    </xf>
    <xf numFmtId="164" fontId="25" fillId="0" borderId="16" applyAlignment="1" pivotButton="0" quotePrefix="0" xfId="1">
      <alignment horizontal="center" vertical="center" wrapText="1" shrinkToFit="1"/>
    </xf>
    <xf numFmtId="164" fontId="25" fillId="0" borderId="40" applyAlignment="1" pivotButton="0" quotePrefix="0" xfId="1">
      <alignment horizontal="center" vertical="center" wrapText="1" shrinkToFit="1"/>
    </xf>
  </cellXfs>
  <cellStyles count="16">
    <cellStyle name="표준" xfId="0" builtinId="0"/>
    <cellStyle name="쉼표 [0]" xfId="1" builtinId="6"/>
    <cellStyle name="표준 4" xfId="2"/>
    <cellStyle name="쉼표 [0] 2" xfId="3"/>
    <cellStyle name="표준 3" xfId="4"/>
    <cellStyle name="표준_첵크리스트" xfId="5"/>
    <cellStyle name="쉼표 [0] 3" xfId="6"/>
    <cellStyle name="표준 2" xfId="7"/>
    <cellStyle name="표준_구매 결의서(11월.안산8차-최종)" xfId="8"/>
    <cellStyle name="쉼표 [0] 5" xfId="9"/>
    <cellStyle name="표준 11" xfId="10"/>
    <cellStyle name="쉼표 [0] 4 2" xfId="11"/>
    <cellStyle name="표준 10" xfId="12"/>
    <cellStyle name="표준 4 11" xfId="13"/>
    <cellStyle name="쉼표 [0] 2 2" xfId="14"/>
    <cellStyle name="표준 3 11" xfId="1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MSEC\&#47749;&#49888;data\02%20&#51088;&#51116;\02.&#51088;&#51116;&#49436;&#47448;\02&#44208;&#51228;&#49436;&#47448;\&#51088;&#51116;&#44208;&#51228;&#49436;&#47448;\1.%20&#51088;&#51116;&#48708;%20&#51665;&#44228;&#54364;.&#44396;&#47588;&#44208;&#51032;&#49436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MSEC\&#47749;&#49888;data\02%20&#51088;&#51116;\02.&#51088;&#51116;&#49436;&#47448;\02&#44208;&#51228;&#49436;&#47448;\&#51088;&#51116;&#44208;&#51228;&#49436;&#47448;\&#51088;&#51116;&#48708;%20&#51665;&#44228;&#54364;.&#44396;&#47588;&#44208;&#51032;&#49436;(24&#45380;)&#52572;&#51333;&#48376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(23~25년) (2)"/>
      <sheetName val="집계표(19~22년)"/>
      <sheetName val="집계표(20~23년)"/>
      <sheetName val="집계표(21~24년)"/>
      <sheetName val="집계표(23~25년)"/>
      <sheetName val="양산사송(구매결의서)"/>
      <sheetName val="집계표(24~26년)"/>
      <sheetName val="계산서발행"/>
      <sheetName val="거래처별 투입현황"/>
      <sheetName val="거래처별현황"/>
      <sheetName val="@사장님(현장별자재투입현황(실투입)"/>
      <sheetName val="가"/>
      <sheetName val="광명센트베르푸르지오(구매결의서)"/>
      <sheetName val="광명센트베르푸르지오(구매결의서) (2)"/>
      <sheetName val="안산푸르지오브리파크2공구(구매결의서)6.28 (2)"/>
      <sheetName val="과천벨라르테(구매결의서)"/>
      <sheetName val="다산진건3블럭(구매결의서)"/>
      <sheetName val="북구청(구매결의서)-2차"/>
      <sheetName val="다산진건3블럭(구매결의서) (대표보고용)"/>
      <sheetName val="북구청(구매결의서)"/>
      <sheetName val="오산세교우미린(구매결의서)"/>
      <sheetName val="수원대유평지구(구매결의서)"/>
      <sheetName val="다산지금3블럭(구매결의서)"/>
      <sheetName val="다산지금3블럭(구매결의서)소방"/>
      <sheetName val="송내역푸르지오(구매결의서)"/>
      <sheetName val="김포북변우미린(구매결의서)"/>
      <sheetName val="금정역(구매결의서)"/>
      <sheetName val="용인은하삼(구매결의서)"/>
      <sheetName val="과천ST세대창고(구매결의서)"/>
      <sheetName val="남양주왕숙(구매결의서)"/>
      <sheetName val="파주스튜디오(구매결의서)"/>
      <sheetName val="화성남양1차(구매결의서)"/>
      <sheetName val="양지2지구 기계(구매결의서)"/>
      <sheetName val="양지2지구 소방(구매결의서)"/>
      <sheetName val="우미가설(구매결의서)"/>
      <sheetName val="신규 기계(구매결의서)"/>
      <sheetName val="신규 소방(구매결의서)"/>
      <sheetName val="신규(구매결의서)"/>
      <sheetName val="Sheet2"/>
      <sheetName val="양산사송(구매결의서) (2)"/>
      <sheetName val="다산현장월별투입"/>
      <sheetName val="북구청현장월별투입"/>
      <sheetName val="오산현장월별투입"/>
      <sheetName val="양산현장월별투입"/>
      <sheetName val="수원현장월별투입"/>
      <sheetName val="북구청(구매결의서) (2)"/>
      <sheetName val="집계표(21~24년) (2)"/>
      <sheetName val="계산서발행(24년)"/>
      <sheetName val="거래처별 투입현황(24년)"/>
      <sheetName val="거래처별현황(24년)"/>
      <sheetName val="@사장님(현장별자재투입현황(실투입)(24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B2" t="str">
            <v>자  재  명</v>
          </cell>
          <cell r="C2" t="str">
            <v>내 역 금 액</v>
          </cell>
          <cell r="D2" t="str">
            <v>변 경 예 상</v>
          </cell>
          <cell r="E2" t="str">
            <v>실 행 금 액</v>
          </cell>
          <cell r="F2" t="str">
            <v>집 행 금 액</v>
          </cell>
          <cell r="G2" t="str">
            <v>26-01</v>
          </cell>
          <cell r="H2" t="str">
            <v>26-02</v>
          </cell>
          <cell r="I2" t="str">
            <v>26-03</v>
          </cell>
          <cell r="J2" t="str">
            <v>26-04</v>
          </cell>
          <cell r="K2" t="str">
            <v>26-05</v>
          </cell>
          <cell r="L2" t="str">
            <v>26-06</v>
          </cell>
          <cell r="M2" t="str">
            <v>26.01~26.06누계</v>
          </cell>
          <cell r="N2" t="str">
            <v>26-07</v>
          </cell>
          <cell r="O2" t="str">
            <v>26-08</v>
          </cell>
          <cell r="P2" t="str">
            <v>26-09</v>
          </cell>
          <cell r="Q2" t="str">
            <v>26-10</v>
          </cell>
          <cell r="R2" t="str">
            <v>26-11</v>
          </cell>
          <cell r="S2" t="str">
            <v>26-12</v>
          </cell>
          <cell r="T2" t="str">
            <v>26.07~26.12누계</v>
          </cell>
          <cell r="U2" t="str">
            <v>27-01</v>
          </cell>
          <cell r="V2" t="str">
            <v>27-02</v>
          </cell>
          <cell r="W2" t="str">
            <v>27-03</v>
          </cell>
          <cell r="X2" t="str">
            <v>27-04</v>
          </cell>
          <cell r="Y2" t="str">
            <v>27-05</v>
          </cell>
          <cell r="Z2" t="str">
            <v>27-06</v>
          </cell>
          <cell r="AA2" t="str">
            <v>27.01~27.06누계</v>
          </cell>
          <cell r="AB2" t="str">
            <v>27-07</v>
          </cell>
          <cell r="AC2" t="str">
            <v>27-08</v>
          </cell>
          <cell r="AD2" t="str">
            <v>27-09</v>
          </cell>
          <cell r="AE2" t="str">
            <v>27-10</v>
          </cell>
          <cell r="AF2" t="str">
            <v>27-11</v>
          </cell>
          <cell r="AG2" t="str">
            <v>27-12</v>
          </cell>
          <cell r="AH2" t="str">
            <v>27.07~27.12누계</v>
          </cell>
          <cell r="AI2" t="str">
            <v>28-01</v>
          </cell>
          <cell r="AJ2" t="str">
            <v>28-02</v>
          </cell>
          <cell r="AK2" t="str">
            <v>28-03</v>
          </cell>
          <cell r="AL2" t="str">
            <v>28-04</v>
          </cell>
          <cell r="AM2" t="str">
            <v>28-05</v>
          </cell>
          <cell r="AN2" t="str">
            <v>28-06</v>
          </cell>
          <cell r="AO2" t="str">
            <v>28.01~28.06누계</v>
          </cell>
          <cell r="AP2" t="str">
            <v>28-07</v>
          </cell>
          <cell r="AQ2" t="str">
            <v>28-08</v>
          </cell>
          <cell r="AR2" t="str">
            <v>28-09</v>
          </cell>
          <cell r="AS2" t="str">
            <v>28-10</v>
          </cell>
          <cell r="AT2" t="str">
            <v>28-11</v>
          </cell>
          <cell r="AU2" t="str">
            <v>28-12</v>
          </cell>
          <cell r="AV2" t="str">
            <v>28.07~28.12누계</v>
          </cell>
          <cell r="AW2" t="str">
            <v>29-01</v>
          </cell>
          <cell r="AX2" t="str">
            <v>29-02</v>
          </cell>
          <cell r="AY2" t="str">
            <v>29-03</v>
          </cell>
          <cell r="AZ2" t="str">
            <v>29-04</v>
          </cell>
          <cell r="BA2" t="str">
            <v>29-05</v>
          </cell>
          <cell r="BB2" t="str">
            <v>29-06</v>
          </cell>
          <cell r="BC2" t="str">
            <v>계</v>
          </cell>
        </row>
        <row r="3">
          <cell r="B3" t="str">
            <v>PVC</v>
          </cell>
          <cell r="C3">
            <v>19806170</v>
          </cell>
          <cell r="E3">
            <v>16500000</v>
          </cell>
          <cell r="F3" t="str">
            <v>마이프라스틱</v>
          </cell>
          <cell r="J3">
            <v>3869890</v>
          </cell>
          <cell r="K3">
            <v>7445330</v>
          </cell>
          <cell r="M3">
            <v>11315220</v>
          </cell>
          <cell r="T3">
            <v>11315220</v>
          </cell>
          <cell r="AA3">
            <v>11315220</v>
          </cell>
          <cell r="AH3">
            <v>11315220</v>
          </cell>
          <cell r="AO3">
            <v>11315220</v>
          </cell>
          <cell r="AV3">
            <v>11315220</v>
          </cell>
          <cell r="BC3">
            <v>11315220</v>
          </cell>
        </row>
        <row r="4">
          <cell r="M4">
            <v>0</v>
          </cell>
          <cell r="T4">
            <v>0</v>
          </cell>
          <cell r="AA4">
            <v>0</v>
          </cell>
          <cell r="AH4">
            <v>0</v>
          </cell>
          <cell r="AO4">
            <v>0</v>
          </cell>
          <cell r="AV4">
            <v>0</v>
          </cell>
          <cell r="BC4">
            <v>0</v>
          </cell>
        </row>
        <row r="5">
          <cell r="M5">
            <v>0</v>
          </cell>
          <cell r="T5">
            <v>0</v>
          </cell>
          <cell r="AA5">
            <v>0</v>
          </cell>
          <cell r="AH5">
            <v>0</v>
          </cell>
          <cell r="AO5">
            <v>0</v>
          </cell>
          <cell r="AV5">
            <v>0</v>
          </cell>
          <cell r="BC5">
            <v>0</v>
          </cell>
        </row>
        <row r="6">
          <cell r="M6">
            <v>0</v>
          </cell>
          <cell r="T6">
            <v>0</v>
          </cell>
          <cell r="AA6">
            <v>0</v>
          </cell>
          <cell r="AH6">
            <v>0</v>
          </cell>
          <cell r="AO6">
            <v>0</v>
          </cell>
          <cell r="AV6">
            <v>0</v>
          </cell>
          <cell r="BC6">
            <v>0</v>
          </cell>
        </row>
        <row r="7">
          <cell r="A7" t="str">
            <v>PVC</v>
          </cell>
          <cell r="B7" t="str">
            <v>소  계</v>
          </cell>
          <cell r="C7">
            <v>19806170</v>
          </cell>
          <cell r="D7">
            <v>0</v>
          </cell>
          <cell r="E7">
            <v>16500000</v>
          </cell>
          <cell r="G7">
            <v>0</v>
          </cell>
          <cell r="H7">
            <v>0</v>
          </cell>
          <cell r="I7">
            <v>0</v>
          </cell>
          <cell r="J7">
            <v>3869890</v>
          </cell>
          <cell r="K7">
            <v>7445330</v>
          </cell>
          <cell r="L7">
            <v>0</v>
          </cell>
          <cell r="M7">
            <v>11315220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11315220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11315220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11315220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11315220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11315220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11315220</v>
          </cell>
        </row>
        <row r="8">
          <cell r="E8">
            <v>0.83307373409397167</v>
          </cell>
          <cell r="BC8">
            <v>0.6857709090909091</v>
          </cell>
        </row>
        <row r="9">
          <cell r="B9" t="str">
            <v>STS관</v>
          </cell>
          <cell r="C9">
            <v>15004530</v>
          </cell>
          <cell r="E9">
            <v>14000000</v>
          </cell>
          <cell r="F9" t="str">
            <v>마이프라스틱</v>
          </cell>
          <cell r="J9">
            <v>382000</v>
          </cell>
          <cell r="L9">
            <v>495000</v>
          </cell>
          <cell r="M9">
            <v>877000</v>
          </cell>
          <cell r="T9">
            <v>877000</v>
          </cell>
          <cell r="AA9">
            <v>877000</v>
          </cell>
          <cell r="AH9">
            <v>877000</v>
          </cell>
          <cell r="AO9">
            <v>877000</v>
          </cell>
          <cell r="AV9">
            <v>877000</v>
          </cell>
          <cell r="BC9">
            <v>877000</v>
          </cell>
        </row>
        <row r="10">
          <cell r="F10" t="str">
            <v>카스엔지니어링</v>
          </cell>
          <cell r="J10">
            <v>122820</v>
          </cell>
          <cell r="K10">
            <v>190080</v>
          </cell>
          <cell r="L10">
            <v>312960</v>
          </cell>
          <cell r="M10">
            <v>625860</v>
          </cell>
          <cell r="T10">
            <v>625860</v>
          </cell>
          <cell r="AA10">
            <v>625860</v>
          </cell>
          <cell r="AH10">
            <v>625860</v>
          </cell>
          <cell r="AO10">
            <v>625860</v>
          </cell>
          <cell r="AV10">
            <v>625860</v>
          </cell>
          <cell r="BC10">
            <v>625860</v>
          </cell>
        </row>
        <row r="11">
          <cell r="F11" t="str">
            <v>일영파이프</v>
          </cell>
          <cell r="L11">
            <v>1776300</v>
          </cell>
          <cell r="M11">
            <v>1776300</v>
          </cell>
          <cell r="T11">
            <v>1776300</v>
          </cell>
          <cell r="AA11">
            <v>1776300</v>
          </cell>
          <cell r="AH11">
            <v>1776300</v>
          </cell>
          <cell r="AO11">
            <v>1776300</v>
          </cell>
          <cell r="AV11">
            <v>1776300</v>
          </cell>
          <cell r="BC11">
            <v>1776300</v>
          </cell>
        </row>
        <row r="12">
          <cell r="A12" t="str">
            <v>STS관</v>
          </cell>
          <cell r="B12" t="str">
            <v>소  계</v>
          </cell>
          <cell r="C12">
            <v>15004530</v>
          </cell>
          <cell r="D12">
            <v>0</v>
          </cell>
          <cell r="E12">
            <v>14000000</v>
          </cell>
          <cell r="G12">
            <v>0</v>
          </cell>
          <cell r="H12">
            <v>0</v>
          </cell>
          <cell r="I12">
            <v>0</v>
          </cell>
          <cell r="J12">
            <v>504820</v>
          </cell>
          <cell r="K12">
            <v>190080</v>
          </cell>
          <cell r="L12">
            <v>2584260</v>
          </cell>
          <cell r="M12">
            <v>3279160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3279160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3279160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3279160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3279160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3279160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3279160</v>
          </cell>
        </row>
        <row r="13">
          <cell r="E13">
            <v>0.93305155176470045</v>
          </cell>
          <cell r="BC13">
            <v>0.23422571428571429</v>
          </cell>
        </row>
        <row r="14">
          <cell r="B14" t="str">
            <v>STS부속</v>
          </cell>
          <cell r="C14">
            <v>10841250</v>
          </cell>
          <cell r="E14">
            <v>9400000</v>
          </cell>
          <cell r="F14" t="str">
            <v>마이프라스틱</v>
          </cell>
          <cell r="J14">
            <v>12010</v>
          </cell>
          <cell r="K14">
            <v>131180</v>
          </cell>
          <cell r="L14">
            <v>77660</v>
          </cell>
          <cell r="M14">
            <v>220850</v>
          </cell>
          <cell r="T14">
            <v>220850</v>
          </cell>
          <cell r="AA14">
            <v>220850</v>
          </cell>
          <cell r="AH14">
            <v>220850</v>
          </cell>
          <cell r="AO14">
            <v>220850</v>
          </cell>
          <cell r="AV14">
            <v>220850</v>
          </cell>
          <cell r="BC14">
            <v>220850</v>
          </cell>
        </row>
        <row r="15">
          <cell r="F15" t="str">
            <v>카스엔지니어링</v>
          </cell>
          <cell r="J15">
            <v>909300</v>
          </cell>
          <cell r="K15">
            <v>209020</v>
          </cell>
          <cell r="L15">
            <v>135300</v>
          </cell>
          <cell r="M15">
            <v>1253620</v>
          </cell>
          <cell r="T15">
            <v>1253620</v>
          </cell>
          <cell r="AA15">
            <v>1253620</v>
          </cell>
          <cell r="AH15">
            <v>1253620</v>
          </cell>
          <cell r="AO15">
            <v>1253620</v>
          </cell>
          <cell r="AV15">
            <v>1253620</v>
          </cell>
          <cell r="BC15">
            <v>1253620</v>
          </cell>
        </row>
        <row r="16">
          <cell r="F16" t="str">
            <v>지오테크</v>
          </cell>
          <cell r="L16">
            <v>3818450</v>
          </cell>
          <cell r="M16">
            <v>3818450</v>
          </cell>
          <cell r="T16">
            <v>3818450</v>
          </cell>
          <cell r="AA16">
            <v>3818450</v>
          </cell>
          <cell r="AH16">
            <v>3818450</v>
          </cell>
          <cell r="AO16">
            <v>3818450</v>
          </cell>
          <cell r="AV16">
            <v>3818450</v>
          </cell>
          <cell r="BC16">
            <v>3818450</v>
          </cell>
        </row>
        <row r="17">
          <cell r="A17" t="str">
            <v>STS부속</v>
          </cell>
          <cell r="B17" t="str">
            <v>소  계</v>
          </cell>
          <cell r="C17">
            <v>10841250</v>
          </cell>
          <cell r="D17">
            <v>0</v>
          </cell>
          <cell r="E17">
            <v>9400000</v>
          </cell>
          <cell r="G17">
            <v>0</v>
          </cell>
          <cell r="H17">
            <v>0</v>
          </cell>
          <cell r="I17">
            <v>0</v>
          </cell>
          <cell r="J17">
            <v>921310</v>
          </cell>
          <cell r="K17">
            <v>340200</v>
          </cell>
          <cell r="L17">
            <v>4031410</v>
          </cell>
          <cell r="M17">
            <v>5292920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5292920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5292920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5292920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5292920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5292920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5292920</v>
          </cell>
        </row>
        <row r="18">
          <cell r="E18">
            <v>0.86705868788193241</v>
          </cell>
          <cell r="BC18">
            <v>0.56307659574468083</v>
          </cell>
        </row>
        <row r="19">
          <cell r="B19" t="str">
            <v>강관</v>
          </cell>
          <cell r="C19">
            <v>34793780</v>
          </cell>
          <cell r="E19">
            <v>32000000</v>
          </cell>
          <cell r="F19" t="str">
            <v>일영파이프</v>
          </cell>
          <cell r="L19">
            <v>389880</v>
          </cell>
          <cell r="M19">
            <v>389880</v>
          </cell>
          <cell r="T19">
            <v>389880</v>
          </cell>
          <cell r="AA19">
            <v>389880</v>
          </cell>
          <cell r="AH19">
            <v>389880</v>
          </cell>
          <cell r="AO19">
            <v>389880</v>
          </cell>
          <cell r="AV19">
            <v>389880</v>
          </cell>
          <cell r="BC19">
            <v>389880</v>
          </cell>
        </row>
        <row r="20">
          <cell r="M20">
            <v>0</v>
          </cell>
          <cell r="T20">
            <v>0</v>
          </cell>
          <cell r="AA20">
            <v>0</v>
          </cell>
          <cell r="AH20">
            <v>0</v>
          </cell>
          <cell r="AO20">
            <v>0</v>
          </cell>
          <cell r="AV20">
            <v>0</v>
          </cell>
          <cell r="BC20">
            <v>0</v>
          </cell>
        </row>
        <row r="21">
          <cell r="M21">
            <v>0</v>
          </cell>
          <cell r="T21">
            <v>0</v>
          </cell>
          <cell r="AA21">
            <v>0</v>
          </cell>
          <cell r="AH21">
            <v>0</v>
          </cell>
          <cell r="AO21">
            <v>0</v>
          </cell>
          <cell r="AV21">
            <v>0</v>
          </cell>
          <cell r="BC21">
            <v>0</v>
          </cell>
        </row>
        <row r="22">
          <cell r="M22">
            <v>0</v>
          </cell>
          <cell r="T22">
            <v>0</v>
          </cell>
          <cell r="AA22">
            <v>0</v>
          </cell>
          <cell r="AH22">
            <v>0</v>
          </cell>
          <cell r="AO22">
            <v>0</v>
          </cell>
          <cell r="AV22">
            <v>0</v>
          </cell>
          <cell r="BC22">
            <v>0</v>
          </cell>
        </row>
        <row r="23">
          <cell r="A23" t="str">
            <v>강관</v>
          </cell>
          <cell r="B23" t="str">
            <v>소  계</v>
          </cell>
          <cell r="C23">
            <v>34793780</v>
          </cell>
          <cell r="D23">
            <v>0</v>
          </cell>
          <cell r="E23">
            <v>32000000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389880</v>
          </cell>
          <cell r="M23">
            <v>389880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389880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389880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389880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389880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389880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389880</v>
          </cell>
        </row>
        <row r="24">
          <cell r="E24">
            <v>0.91970461387064006</v>
          </cell>
          <cell r="BC24">
            <v>1.218375E-2</v>
          </cell>
        </row>
        <row r="25">
          <cell r="B25" t="str">
            <v>강관(SP)</v>
          </cell>
          <cell r="C25">
            <v>49595610</v>
          </cell>
          <cell r="E25">
            <v>45200000</v>
          </cell>
          <cell r="M25">
            <v>0</v>
          </cell>
          <cell r="T25">
            <v>0</v>
          </cell>
          <cell r="AA25">
            <v>0</v>
          </cell>
          <cell r="AH25">
            <v>0</v>
          </cell>
          <cell r="AO25">
            <v>0</v>
          </cell>
          <cell r="AV25">
            <v>0</v>
          </cell>
          <cell r="BC25">
            <v>0</v>
          </cell>
        </row>
        <row r="26">
          <cell r="M26">
            <v>0</v>
          </cell>
          <cell r="T26">
            <v>0</v>
          </cell>
          <cell r="AA26">
            <v>0</v>
          </cell>
          <cell r="AH26">
            <v>0</v>
          </cell>
          <cell r="AO26">
            <v>0</v>
          </cell>
          <cell r="AV26">
            <v>0</v>
          </cell>
          <cell r="BC26">
            <v>0</v>
          </cell>
        </row>
        <row r="27">
          <cell r="M27">
            <v>0</v>
          </cell>
          <cell r="T27">
            <v>0</v>
          </cell>
          <cell r="AA27">
            <v>0</v>
          </cell>
          <cell r="AH27">
            <v>0</v>
          </cell>
          <cell r="AO27">
            <v>0</v>
          </cell>
          <cell r="AV27">
            <v>0</v>
          </cell>
          <cell r="BC27">
            <v>0</v>
          </cell>
        </row>
        <row r="28">
          <cell r="A28" t="str">
            <v>강관(SP)</v>
          </cell>
          <cell r="B28" t="str">
            <v>소  계</v>
          </cell>
          <cell r="C28">
            <v>49595610</v>
          </cell>
          <cell r="D28">
            <v>0</v>
          </cell>
          <cell r="E28">
            <v>45200000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E29">
            <v>0.91137098626269542</v>
          </cell>
          <cell r="BC29">
            <v>0</v>
          </cell>
        </row>
        <row r="30">
          <cell r="B30" t="str">
            <v>강관부속</v>
          </cell>
          <cell r="C30">
            <v>35897150</v>
          </cell>
          <cell r="E30">
            <v>22000000</v>
          </cell>
          <cell r="F30" t="str">
            <v>에이치디</v>
          </cell>
          <cell r="K30">
            <v>402420</v>
          </cell>
          <cell r="M30">
            <v>402420</v>
          </cell>
          <cell r="T30">
            <v>402420</v>
          </cell>
          <cell r="AA30">
            <v>402420</v>
          </cell>
          <cell r="AH30">
            <v>402420</v>
          </cell>
          <cell r="AO30">
            <v>402420</v>
          </cell>
          <cell r="AV30">
            <v>402420</v>
          </cell>
          <cell r="BC30">
            <v>402420</v>
          </cell>
        </row>
        <row r="31">
          <cell r="M31">
            <v>0</v>
          </cell>
          <cell r="T31">
            <v>0</v>
          </cell>
          <cell r="AA31">
            <v>0</v>
          </cell>
          <cell r="AH31">
            <v>0</v>
          </cell>
          <cell r="AO31">
            <v>0</v>
          </cell>
          <cell r="AV31">
            <v>0</v>
          </cell>
          <cell r="BC31">
            <v>0</v>
          </cell>
        </row>
        <row r="32">
          <cell r="M32">
            <v>0</v>
          </cell>
          <cell r="T32">
            <v>0</v>
          </cell>
          <cell r="AA32">
            <v>0</v>
          </cell>
          <cell r="AH32">
            <v>0</v>
          </cell>
          <cell r="AO32">
            <v>0</v>
          </cell>
          <cell r="AV32">
            <v>0</v>
          </cell>
          <cell r="BC32">
            <v>0</v>
          </cell>
        </row>
        <row r="33">
          <cell r="M33">
            <v>0</v>
          </cell>
          <cell r="T33">
            <v>0</v>
          </cell>
          <cell r="AA33">
            <v>0</v>
          </cell>
          <cell r="AH33">
            <v>0</v>
          </cell>
          <cell r="AO33">
            <v>0</v>
          </cell>
          <cell r="AV33">
            <v>0</v>
          </cell>
          <cell r="BC33">
            <v>0</v>
          </cell>
        </row>
        <row r="34">
          <cell r="A34" t="str">
            <v>강관부속</v>
          </cell>
          <cell r="B34" t="str">
            <v>소  계</v>
          </cell>
          <cell r="C34">
            <v>35897150</v>
          </cell>
          <cell r="D34">
            <v>0</v>
          </cell>
          <cell r="E34">
            <v>22000000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402420</v>
          </cell>
          <cell r="L34">
            <v>0</v>
          </cell>
          <cell r="M34">
            <v>402420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402420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402420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402420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402420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402420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402420</v>
          </cell>
        </row>
        <row r="35">
          <cell r="E35">
            <v>0.61286202386540434</v>
          </cell>
          <cell r="BC35">
            <v>1.8291818181818183E-2</v>
          </cell>
        </row>
        <row r="36">
          <cell r="B36" t="str">
            <v>강관부속(SP)</v>
          </cell>
          <cell r="C36">
            <v>45286340</v>
          </cell>
          <cell r="E36">
            <v>40000000</v>
          </cell>
          <cell r="M36">
            <v>0</v>
          </cell>
          <cell r="T36">
            <v>0</v>
          </cell>
          <cell r="AA36">
            <v>0</v>
          </cell>
          <cell r="AH36">
            <v>0</v>
          </cell>
          <cell r="AO36">
            <v>0</v>
          </cell>
          <cell r="AV36">
            <v>0</v>
          </cell>
          <cell r="BC36">
            <v>0</v>
          </cell>
        </row>
        <row r="37">
          <cell r="M37">
            <v>0</v>
          </cell>
          <cell r="T37">
            <v>0</v>
          </cell>
          <cell r="AA37">
            <v>0</v>
          </cell>
          <cell r="AH37">
            <v>0</v>
          </cell>
          <cell r="AO37">
            <v>0</v>
          </cell>
          <cell r="AV37">
            <v>0</v>
          </cell>
          <cell r="BC37">
            <v>0</v>
          </cell>
        </row>
        <row r="38">
          <cell r="M38">
            <v>0</v>
          </cell>
          <cell r="T38">
            <v>0</v>
          </cell>
          <cell r="AA38">
            <v>0</v>
          </cell>
          <cell r="AH38">
            <v>0</v>
          </cell>
          <cell r="AO38">
            <v>0</v>
          </cell>
          <cell r="AV38">
            <v>0</v>
          </cell>
          <cell r="BC38">
            <v>0</v>
          </cell>
        </row>
        <row r="39">
          <cell r="A39" t="str">
            <v>강관부속(SP)</v>
          </cell>
          <cell r="B39" t="str">
            <v>소  계</v>
          </cell>
          <cell r="C39">
            <v>45286340</v>
          </cell>
          <cell r="D39">
            <v>0</v>
          </cell>
          <cell r="E39">
            <v>40000000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E40">
            <v>0.88326855294554607</v>
          </cell>
          <cell r="BC40">
            <v>0</v>
          </cell>
        </row>
        <row r="41">
          <cell r="B41" t="str">
            <v>보온재</v>
          </cell>
          <cell r="C41">
            <v>24988970</v>
          </cell>
          <cell r="E41">
            <v>21000000</v>
          </cell>
          <cell r="M41">
            <v>0</v>
          </cell>
          <cell r="T41">
            <v>0</v>
          </cell>
          <cell r="AA41">
            <v>0</v>
          </cell>
          <cell r="AH41">
            <v>0</v>
          </cell>
          <cell r="AO41">
            <v>0</v>
          </cell>
          <cell r="AV41">
            <v>0</v>
          </cell>
          <cell r="BC41">
            <v>0</v>
          </cell>
        </row>
        <row r="42">
          <cell r="M42">
            <v>0</v>
          </cell>
          <cell r="T42">
            <v>0</v>
          </cell>
          <cell r="AA42">
            <v>0</v>
          </cell>
          <cell r="AH42">
            <v>0</v>
          </cell>
          <cell r="AO42">
            <v>0</v>
          </cell>
          <cell r="AV42">
            <v>0</v>
          </cell>
          <cell r="BC42">
            <v>0</v>
          </cell>
        </row>
        <row r="43">
          <cell r="M43">
            <v>0</v>
          </cell>
          <cell r="T43">
            <v>0</v>
          </cell>
          <cell r="AA43">
            <v>0</v>
          </cell>
          <cell r="AH43">
            <v>0</v>
          </cell>
          <cell r="AO43">
            <v>0</v>
          </cell>
          <cell r="AV43">
            <v>0</v>
          </cell>
          <cell r="BC43">
            <v>0</v>
          </cell>
        </row>
        <row r="44">
          <cell r="M44">
            <v>0</v>
          </cell>
          <cell r="T44">
            <v>0</v>
          </cell>
          <cell r="AA44">
            <v>0</v>
          </cell>
          <cell r="AH44">
            <v>0</v>
          </cell>
          <cell r="AO44">
            <v>0</v>
          </cell>
          <cell r="AV44">
            <v>0</v>
          </cell>
          <cell r="BC44">
            <v>0</v>
          </cell>
        </row>
        <row r="45">
          <cell r="A45" t="str">
            <v>보온재</v>
          </cell>
          <cell r="B45" t="str">
            <v>소  계</v>
          </cell>
          <cell r="C45">
            <v>24988970</v>
          </cell>
          <cell r="D45">
            <v>0</v>
          </cell>
          <cell r="E45">
            <v>21000000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6">
          <cell r="E46">
            <v>0.84037077158442308</v>
          </cell>
          <cell r="BC46">
            <v>0</v>
          </cell>
        </row>
        <row r="47">
          <cell r="B47" t="str">
            <v>감압변</v>
          </cell>
          <cell r="C47">
            <v>1755380</v>
          </cell>
          <cell r="E47">
            <v>1620000</v>
          </cell>
          <cell r="M47">
            <v>0</v>
          </cell>
          <cell r="T47">
            <v>0</v>
          </cell>
          <cell r="AA47">
            <v>0</v>
          </cell>
          <cell r="AH47">
            <v>0</v>
          </cell>
          <cell r="AO47">
            <v>0</v>
          </cell>
          <cell r="AV47">
            <v>0</v>
          </cell>
          <cell r="BC47">
            <v>0</v>
          </cell>
        </row>
        <row r="48">
          <cell r="M48">
            <v>0</v>
          </cell>
          <cell r="T48">
            <v>0</v>
          </cell>
          <cell r="AA48">
            <v>0</v>
          </cell>
          <cell r="AH48">
            <v>0</v>
          </cell>
          <cell r="AO48">
            <v>0</v>
          </cell>
          <cell r="AV48">
            <v>0</v>
          </cell>
          <cell r="BC48">
            <v>0</v>
          </cell>
        </row>
        <row r="49">
          <cell r="A49" t="str">
            <v>감압변</v>
          </cell>
          <cell r="B49" t="str">
            <v>소  계</v>
          </cell>
          <cell r="C49">
            <v>1755380</v>
          </cell>
          <cell r="D49">
            <v>0</v>
          </cell>
          <cell r="E49">
            <v>1620000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</row>
        <row r="50">
          <cell r="E50">
            <v>0.92287709783636596</v>
          </cell>
          <cell r="BC50">
            <v>0</v>
          </cell>
        </row>
        <row r="51">
          <cell r="B51" t="str">
            <v>밸브류</v>
          </cell>
          <cell r="C51">
            <v>35708050</v>
          </cell>
          <cell r="E51">
            <v>33500000</v>
          </cell>
          <cell r="F51" t="str">
            <v>에이치디</v>
          </cell>
          <cell r="K51">
            <v>1847280</v>
          </cell>
          <cell r="M51">
            <v>1847280</v>
          </cell>
          <cell r="T51">
            <v>1847280</v>
          </cell>
          <cell r="AA51">
            <v>1847280</v>
          </cell>
          <cell r="AH51">
            <v>1847280</v>
          </cell>
          <cell r="AO51">
            <v>1847280</v>
          </cell>
          <cell r="AV51">
            <v>1847280</v>
          </cell>
          <cell r="BC51">
            <v>1847280</v>
          </cell>
        </row>
        <row r="52">
          <cell r="F52" t="str">
            <v>지오테크</v>
          </cell>
          <cell r="L52">
            <v>517720</v>
          </cell>
          <cell r="M52">
            <v>517720</v>
          </cell>
          <cell r="T52">
            <v>517720</v>
          </cell>
          <cell r="AA52">
            <v>517720</v>
          </cell>
          <cell r="AH52">
            <v>517720</v>
          </cell>
          <cell r="AO52">
            <v>517720</v>
          </cell>
          <cell r="AV52">
            <v>517720</v>
          </cell>
          <cell r="BC52">
            <v>517720</v>
          </cell>
        </row>
        <row r="53">
          <cell r="M53">
            <v>0</v>
          </cell>
          <cell r="T53">
            <v>0</v>
          </cell>
          <cell r="AA53">
            <v>0</v>
          </cell>
          <cell r="AH53">
            <v>0</v>
          </cell>
          <cell r="AO53">
            <v>0</v>
          </cell>
          <cell r="AV53">
            <v>0</v>
          </cell>
          <cell r="BC53">
            <v>0</v>
          </cell>
        </row>
        <row r="54">
          <cell r="A54" t="str">
            <v>밸브류</v>
          </cell>
          <cell r="B54" t="str">
            <v>소  계</v>
          </cell>
          <cell r="C54">
            <v>35708050</v>
          </cell>
          <cell r="D54">
            <v>0</v>
          </cell>
          <cell r="E54">
            <v>33500000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1847280</v>
          </cell>
          <cell r="L54">
            <v>517720</v>
          </cell>
          <cell r="M54">
            <v>2365000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2365000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2365000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2365000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2365000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2365000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2365000</v>
          </cell>
        </row>
        <row r="55">
          <cell r="E55">
            <v>0.93816380340007366</v>
          </cell>
          <cell r="BC55">
            <v>7.0597014925373139E-2</v>
          </cell>
        </row>
        <row r="56">
          <cell r="B56" t="str">
            <v>스리브</v>
          </cell>
          <cell r="C56">
            <v>1646420</v>
          </cell>
          <cell r="E56">
            <v>4200000</v>
          </cell>
          <cell r="F56" t="str">
            <v>동일판매</v>
          </cell>
          <cell r="J56">
            <v>1106700</v>
          </cell>
          <cell r="K56">
            <v>1481830</v>
          </cell>
          <cell r="M56">
            <v>2588530</v>
          </cell>
          <cell r="T56">
            <v>2588530</v>
          </cell>
          <cell r="AA56">
            <v>2588530</v>
          </cell>
          <cell r="AH56">
            <v>2588530</v>
          </cell>
          <cell r="AO56">
            <v>2588530</v>
          </cell>
          <cell r="AV56">
            <v>2588530</v>
          </cell>
          <cell r="BC56">
            <v>2588530</v>
          </cell>
        </row>
        <row r="57">
          <cell r="M57">
            <v>0</v>
          </cell>
          <cell r="T57">
            <v>0</v>
          </cell>
          <cell r="AA57">
            <v>0</v>
          </cell>
          <cell r="AH57">
            <v>0</v>
          </cell>
          <cell r="AO57">
            <v>0</v>
          </cell>
          <cell r="AV57">
            <v>0</v>
          </cell>
          <cell r="BC57">
            <v>0</v>
          </cell>
        </row>
        <row r="58">
          <cell r="M58">
            <v>0</v>
          </cell>
          <cell r="T58">
            <v>0</v>
          </cell>
          <cell r="AA58">
            <v>0</v>
          </cell>
          <cell r="AH58">
            <v>0</v>
          </cell>
          <cell r="AO58">
            <v>0</v>
          </cell>
          <cell r="AV58">
            <v>0</v>
          </cell>
          <cell r="BC58">
            <v>0</v>
          </cell>
        </row>
        <row r="59">
          <cell r="A59" t="str">
            <v>스리브</v>
          </cell>
          <cell r="B59" t="str">
            <v>소  계</v>
          </cell>
          <cell r="C59">
            <v>1646420</v>
          </cell>
          <cell r="D59">
            <v>0</v>
          </cell>
          <cell r="E59">
            <v>4200000</v>
          </cell>
          <cell r="G59">
            <v>0</v>
          </cell>
          <cell r="H59">
            <v>0</v>
          </cell>
          <cell r="I59">
            <v>0</v>
          </cell>
          <cell r="J59">
            <v>1106700</v>
          </cell>
          <cell r="K59">
            <v>1481830</v>
          </cell>
          <cell r="L59">
            <v>0</v>
          </cell>
          <cell r="M59">
            <v>2588530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2588530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2588530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2588530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2588530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2588530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2588530</v>
          </cell>
        </row>
        <row r="60">
          <cell r="E60">
            <v>2.5509894194676934</v>
          </cell>
          <cell r="BC60">
            <v>0.61631666666666662</v>
          </cell>
        </row>
        <row r="61">
          <cell r="B61" t="str">
            <v>조립식가대</v>
          </cell>
          <cell r="C61">
            <v>24210213</v>
          </cell>
          <cell r="E61">
            <v>16000000</v>
          </cell>
          <cell r="F61" t="str">
            <v>코리스이엔티</v>
          </cell>
          <cell r="L61">
            <v>195660</v>
          </cell>
          <cell r="M61">
            <v>195660</v>
          </cell>
          <cell r="T61">
            <v>195660</v>
          </cell>
          <cell r="AA61">
            <v>195660</v>
          </cell>
          <cell r="AH61">
            <v>195660</v>
          </cell>
          <cell r="AO61">
            <v>195660</v>
          </cell>
          <cell r="AV61">
            <v>195660</v>
          </cell>
          <cell r="BC61">
            <v>195660</v>
          </cell>
        </row>
        <row r="62">
          <cell r="M62">
            <v>0</v>
          </cell>
          <cell r="T62">
            <v>0</v>
          </cell>
          <cell r="AA62">
            <v>0</v>
          </cell>
          <cell r="AH62">
            <v>0</v>
          </cell>
          <cell r="AO62">
            <v>0</v>
          </cell>
          <cell r="AV62">
            <v>0</v>
          </cell>
          <cell r="BC62">
            <v>0</v>
          </cell>
        </row>
        <row r="63">
          <cell r="M63">
            <v>0</v>
          </cell>
          <cell r="T63">
            <v>0</v>
          </cell>
          <cell r="AA63">
            <v>0</v>
          </cell>
          <cell r="AH63">
            <v>0</v>
          </cell>
          <cell r="AO63">
            <v>0</v>
          </cell>
          <cell r="AV63">
            <v>0</v>
          </cell>
          <cell r="BC63">
            <v>0</v>
          </cell>
        </row>
        <row r="64">
          <cell r="M64">
            <v>0</v>
          </cell>
          <cell r="T64">
            <v>0</v>
          </cell>
          <cell r="AA64">
            <v>0</v>
          </cell>
          <cell r="AH64">
            <v>0</v>
          </cell>
          <cell r="AO64">
            <v>0</v>
          </cell>
          <cell r="AV64">
            <v>0</v>
          </cell>
          <cell r="BC64">
            <v>0</v>
          </cell>
        </row>
        <row r="65">
          <cell r="A65" t="str">
            <v>조립식가대</v>
          </cell>
          <cell r="B65" t="str">
            <v>소  계</v>
          </cell>
          <cell r="C65">
            <v>24210213</v>
          </cell>
          <cell r="D65">
            <v>0</v>
          </cell>
          <cell r="E65">
            <v>16000000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195660</v>
          </cell>
          <cell r="M65">
            <v>195660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195660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195660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195660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195660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195660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195660</v>
          </cell>
        </row>
        <row r="66">
          <cell r="E66">
            <v>0.66087811784225114</v>
          </cell>
          <cell r="BC66">
            <v>1.222875E-2</v>
          </cell>
        </row>
        <row r="67">
          <cell r="B67" t="str">
            <v>SUPPORT</v>
          </cell>
          <cell r="C67">
            <v>12252602</v>
          </cell>
          <cell r="E67">
            <v>11000000</v>
          </cell>
          <cell r="F67" t="str">
            <v>신성지엠씨</v>
          </cell>
          <cell r="J67">
            <v>346900</v>
          </cell>
          <cell r="K67">
            <v>616550</v>
          </cell>
          <cell r="L67">
            <v>702080</v>
          </cell>
          <cell r="M67">
            <v>1665530</v>
          </cell>
          <cell r="T67">
            <v>1665530</v>
          </cell>
          <cell r="AA67">
            <v>1665530</v>
          </cell>
          <cell r="AH67">
            <v>1665530</v>
          </cell>
          <cell r="AO67">
            <v>1665530</v>
          </cell>
          <cell r="AV67">
            <v>1665530</v>
          </cell>
          <cell r="BC67">
            <v>1665530</v>
          </cell>
        </row>
        <row r="68">
          <cell r="M68">
            <v>0</v>
          </cell>
          <cell r="T68">
            <v>0</v>
          </cell>
          <cell r="AA68">
            <v>0</v>
          </cell>
          <cell r="AH68">
            <v>0</v>
          </cell>
          <cell r="AO68">
            <v>0</v>
          </cell>
          <cell r="AV68">
            <v>0</v>
          </cell>
        </row>
        <row r="69">
          <cell r="M69">
            <v>0</v>
          </cell>
          <cell r="T69">
            <v>0</v>
          </cell>
          <cell r="AA69">
            <v>0</v>
          </cell>
          <cell r="AH69">
            <v>0</v>
          </cell>
          <cell r="AO69">
            <v>0</v>
          </cell>
          <cell r="AV69">
            <v>0</v>
          </cell>
          <cell r="BC69">
            <v>0</v>
          </cell>
        </row>
        <row r="70">
          <cell r="A70" t="str">
            <v>SUPPORT</v>
          </cell>
          <cell r="B70" t="str">
            <v>소  계</v>
          </cell>
          <cell r="C70">
            <v>12252602</v>
          </cell>
          <cell r="D70">
            <v>0</v>
          </cell>
          <cell r="E70">
            <v>11000000</v>
          </cell>
          <cell r="G70">
            <v>0</v>
          </cell>
          <cell r="H70">
            <v>0</v>
          </cell>
          <cell r="I70">
            <v>0</v>
          </cell>
          <cell r="J70">
            <v>346900</v>
          </cell>
          <cell r="K70">
            <v>616550</v>
          </cell>
          <cell r="L70">
            <v>702080</v>
          </cell>
          <cell r="M70">
            <v>1665530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1665530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1665530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1665530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1665530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1665530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1665530</v>
          </cell>
        </row>
        <row r="71">
          <cell r="E71">
            <v>0.89776849031740358</v>
          </cell>
          <cell r="BC71">
            <v>0.15141181818181818</v>
          </cell>
        </row>
        <row r="72">
          <cell r="B72" t="str">
            <v>입상고절틍+내화충진재</v>
          </cell>
          <cell r="F72" t="str">
            <v>타스이엔씨</v>
          </cell>
          <cell r="L72">
            <v>741880</v>
          </cell>
          <cell r="M72">
            <v>741880</v>
          </cell>
          <cell r="T72">
            <v>741880</v>
          </cell>
          <cell r="AA72">
            <v>741880</v>
          </cell>
          <cell r="AH72">
            <v>741880</v>
          </cell>
          <cell r="AO72">
            <v>741880</v>
          </cell>
          <cell r="AV72">
            <v>741880</v>
          </cell>
          <cell r="BC72">
            <v>741880</v>
          </cell>
        </row>
        <row r="73">
          <cell r="M73">
            <v>0</v>
          </cell>
          <cell r="T73">
            <v>0</v>
          </cell>
          <cell r="AA73">
            <v>0</v>
          </cell>
          <cell r="AH73">
            <v>0</v>
          </cell>
          <cell r="AO73">
            <v>0</v>
          </cell>
          <cell r="AV73">
            <v>0</v>
          </cell>
          <cell r="BC73">
            <v>0</v>
          </cell>
        </row>
        <row r="74">
          <cell r="A74" t="str">
            <v>저수조</v>
          </cell>
          <cell r="B74" t="str">
            <v>소  계</v>
          </cell>
          <cell r="C74">
            <v>0</v>
          </cell>
          <cell r="D74">
            <v>0</v>
          </cell>
          <cell r="E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741880</v>
          </cell>
          <cell r="M74">
            <v>741880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741880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741880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741880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741880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741880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741880</v>
          </cell>
        </row>
        <row r="75">
          <cell r="E75">
            <v>0</v>
          </cell>
          <cell r="BC75">
            <v>0</v>
          </cell>
        </row>
        <row r="76">
          <cell r="B76" t="str">
            <v>저수조</v>
          </cell>
          <cell r="C76">
            <v>66330000</v>
          </cell>
          <cell r="E76">
            <v>64500000</v>
          </cell>
          <cell r="M76">
            <v>0</v>
          </cell>
          <cell r="T76">
            <v>0</v>
          </cell>
          <cell r="AA76">
            <v>0</v>
          </cell>
          <cell r="AH76">
            <v>0</v>
          </cell>
          <cell r="AO76">
            <v>0</v>
          </cell>
          <cell r="AV76">
            <v>0</v>
          </cell>
          <cell r="BC76">
            <v>0</v>
          </cell>
        </row>
        <row r="77">
          <cell r="M77">
            <v>0</v>
          </cell>
          <cell r="T77">
            <v>0</v>
          </cell>
          <cell r="AA77">
            <v>0</v>
          </cell>
          <cell r="AH77">
            <v>0</v>
          </cell>
          <cell r="AO77">
            <v>0</v>
          </cell>
          <cell r="AV77">
            <v>0</v>
          </cell>
          <cell r="BC77">
            <v>0</v>
          </cell>
        </row>
        <row r="78">
          <cell r="A78" t="str">
            <v>저수조</v>
          </cell>
          <cell r="B78" t="str">
            <v>소  계</v>
          </cell>
          <cell r="C78">
            <v>66330000</v>
          </cell>
          <cell r="D78">
            <v>0</v>
          </cell>
          <cell r="E78">
            <v>64500000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</row>
        <row r="79">
          <cell r="E79">
            <v>0.97241067390321123</v>
          </cell>
          <cell r="BC79">
            <v>0</v>
          </cell>
        </row>
        <row r="80">
          <cell r="B80" t="str">
            <v>펌프류</v>
          </cell>
          <cell r="C80">
            <v>79560000</v>
          </cell>
          <cell r="E80">
            <v>77500000</v>
          </cell>
          <cell r="F80" t="str">
            <v>타스이엔씨</v>
          </cell>
          <cell r="L80">
            <v>2180000</v>
          </cell>
          <cell r="M80">
            <v>2180000</v>
          </cell>
          <cell r="T80">
            <v>2180000</v>
          </cell>
          <cell r="AA80">
            <v>2180000</v>
          </cell>
          <cell r="AH80">
            <v>2180000</v>
          </cell>
          <cell r="AO80">
            <v>2180000</v>
          </cell>
          <cell r="AV80">
            <v>2180000</v>
          </cell>
          <cell r="BC80">
            <v>2180000</v>
          </cell>
        </row>
        <row r="81">
          <cell r="M81">
            <v>0</v>
          </cell>
          <cell r="T81">
            <v>0</v>
          </cell>
          <cell r="AA81">
            <v>0</v>
          </cell>
          <cell r="AH81">
            <v>0</v>
          </cell>
          <cell r="AO81">
            <v>0</v>
          </cell>
          <cell r="AV81">
            <v>0</v>
          </cell>
          <cell r="BC81">
            <v>0</v>
          </cell>
        </row>
        <row r="82">
          <cell r="A82" t="str">
            <v>펌프류</v>
          </cell>
          <cell r="B82" t="str">
            <v>소  계</v>
          </cell>
          <cell r="C82">
            <v>79560000</v>
          </cell>
          <cell r="D82">
            <v>0</v>
          </cell>
          <cell r="E82">
            <v>77500000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2180000</v>
          </cell>
          <cell r="M82">
            <v>2180000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2180000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2180000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2180000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2180000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2180000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2180000</v>
          </cell>
        </row>
        <row r="83">
          <cell r="E83">
            <v>0.97410759175465056</v>
          </cell>
          <cell r="BC83">
            <v>2.8129032258064516E-2</v>
          </cell>
        </row>
        <row r="84">
          <cell r="B84" t="str">
            <v>휀장비류</v>
          </cell>
          <cell r="C84">
            <v>20823000</v>
          </cell>
          <cell r="E84">
            <v>19800000</v>
          </cell>
          <cell r="M84">
            <v>0</v>
          </cell>
          <cell r="T84">
            <v>0</v>
          </cell>
          <cell r="AA84">
            <v>0</v>
          </cell>
          <cell r="AH84">
            <v>0</v>
          </cell>
          <cell r="AO84">
            <v>0</v>
          </cell>
          <cell r="AV84">
            <v>0</v>
          </cell>
          <cell r="BC84">
            <v>0</v>
          </cell>
        </row>
        <row r="85">
          <cell r="M85">
            <v>0</v>
          </cell>
          <cell r="T85">
            <v>0</v>
          </cell>
          <cell r="AA85">
            <v>0</v>
          </cell>
          <cell r="AH85">
            <v>0</v>
          </cell>
          <cell r="AO85">
            <v>0</v>
          </cell>
          <cell r="AV85">
            <v>0</v>
          </cell>
          <cell r="BC85">
            <v>0</v>
          </cell>
        </row>
        <row r="86">
          <cell r="M86">
            <v>0</v>
          </cell>
          <cell r="T86">
            <v>0</v>
          </cell>
          <cell r="AA86">
            <v>0</v>
          </cell>
          <cell r="AH86">
            <v>0</v>
          </cell>
          <cell r="AO86">
            <v>0</v>
          </cell>
          <cell r="AV86">
            <v>0</v>
          </cell>
        </row>
        <row r="87">
          <cell r="M87">
            <v>0</v>
          </cell>
          <cell r="T87">
            <v>0</v>
          </cell>
          <cell r="AA87">
            <v>0</v>
          </cell>
          <cell r="AH87">
            <v>0</v>
          </cell>
          <cell r="AO87">
            <v>0</v>
          </cell>
          <cell r="AV87">
            <v>0</v>
          </cell>
          <cell r="BC87">
            <v>0</v>
          </cell>
        </row>
        <row r="88">
          <cell r="A88" t="str">
            <v>휀장비류</v>
          </cell>
          <cell r="B88" t="str">
            <v>소  계</v>
          </cell>
          <cell r="C88">
            <v>20823000</v>
          </cell>
          <cell r="D88">
            <v>0</v>
          </cell>
          <cell r="E88">
            <v>19800000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</row>
        <row r="89">
          <cell r="E89">
            <v>0.95087163232963545</v>
          </cell>
          <cell r="BC89">
            <v>0</v>
          </cell>
        </row>
        <row r="90">
          <cell r="B90" t="str">
            <v>도기류</v>
          </cell>
          <cell r="C90">
            <v>51256140</v>
          </cell>
          <cell r="E90">
            <v>49500000</v>
          </cell>
          <cell r="M90">
            <v>0</v>
          </cell>
          <cell r="T90">
            <v>0</v>
          </cell>
          <cell r="AA90">
            <v>0</v>
          </cell>
          <cell r="AH90">
            <v>0</v>
          </cell>
          <cell r="AO90">
            <v>0</v>
          </cell>
          <cell r="AV90">
            <v>0</v>
          </cell>
          <cell r="BC90">
            <v>0</v>
          </cell>
        </row>
        <row r="91">
          <cell r="M91">
            <v>0</v>
          </cell>
          <cell r="T91">
            <v>0</v>
          </cell>
          <cell r="AA91">
            <v>0</v>
          </cell>
          <cell r="AH91">
            <v>0</v>
          </cell>
          <cell r="AO91">
            <v>0</v>
          </cell>
          <cell r="AV91">
            <v>0</v>
          </cell>
          <cell r="BC91">
            <v>0</v>
          </cell>
        </row>
        <row r="92">
          <cell r="A92" t="str">
            <v>도기류</v>
          </cell>
          <cell r="B92" t="str">
            <v>소  계</v>
          </cell>
          <cell r="C92">
            <v>51256140</v>
          </cell>
          <cell r="D92">
            <v>0</v>
          </cell>
          <cell r="E92">
            <v>49500000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E93">
            <v>0.96573795841824994</v>
          </cell>
          <cell r="BC93">
            <v>0</v>
          </cell>
        </row>
        <row r="94">
          <cell r="B94" t="str">
            <v>주방기구(설치비포함)</v>
          </cell>
          <cell r="C94">
            <v>30836000</v>
          </cell>
          <cell r="E94">
            <v>28000000</v>
          </cell>
          <cell r="M94">
            <v>0</v>
          </cell>
          <cell r="T94">
            <v>0</v>
          </cell>
          <cell r="AA94">
            <v>0</v>
          </cell>
          <cell r="AH94">
            <v>0</v>
          </cell>
          <cell r="AO94">
            <v>0</v>
          </cell>
          <cell r="AV94">
            <v>0</v>
          </cell>
          <cell r="BC94">
            <v>0</v>
          </cell>
        </row>
        <row r="95">
          <cell r="M95">
            <v>0</v>
          </cell>
          <cell r="T95">
            <v>0</v>
          </cell>
          <cell r="AA95">
            <v>0</v>
          </cell>
          <cell r="AH95">
            <v>0</v>
          </cell>
          <cell r="AO95">
            <v>0</v>
          </cell>
          <cell r="AV95">
            <v>0</v>
          </cell>
          <cell r="BC95">
            <v>0</v>
          </cell>
        </row>
        <row r="96">
          <cell r="M96">
            <v>0</v>
          </cell>
          <cell r="T96">
            <v>0</v>
          </cell>
          <cell r="AA96">
            <v>0</v>
          </cell>
          <cell r="AH96">
            <v>0</v>
          </cell>
          <cell r="AO96">
            <v>0</v>
          </cell>
          <cell r="AV96">
            <v>0</v>
          </cell>
          <cell r="BC96">
            <v>0</v>
          </cell>
        </row>
        <row r="97">
          <cell r="A97" t="str">
            <v>주방기구(설치비포함)</v>
          </cell>
          <cell r="B97" t="str">
            <v>소  계</v>
          </cell>
          <cell r="C97">
            <v>30836000</v>
          </cell>
          <cell r="D97">
            <v>0</v>
          </cell>
          <cell r="E97">
            <v>28000000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</row>
        <row r="98">
          <cell r="E98">
            <v>0.90802957582046961</v>
          </cell>
          <cell r="BC98">
            <v>0</v>
          </cell>
        </row>
        <row r="99">
          <cell r="B99" t="str">
            <v>온수기 외</v>
          </cell>
          <cell r="C99">
            <v>16940000</v>
          </cell>
          <cell r="E99">
            <v>16500000</v>
          </cell>
          <cell r="M99">
            <v>0</v>
          </cell>
          <cell r="T99">
            <v>0</v>
          </cell>
          <cell r="AA99">
            <v>0</v>
          </cell>
          <cell r="AH99">
            <v>0</v>
          </cell>
          <cell r="AO99">
            <v>0</v>
          </cell>
          <cell r="AV99">
            <v>0</v>
          </cell>
          <cell r="BC99">
            <v>0</v>
          </cell>
        </row>
        <row r="100">
          <cell r="M100">
            <v>0</v>
          </cell>
          <cell r="T100">
            <v>0</v>
          </cell>
          <cell r="AA100">
            <v>0</v>
          </cell>
          <cell r="AH100">
            <v>0</v>
          </cell>
          <cell r="AO100">
            <v>0</v>
          </cell>
          <cell r="AV100">
            <v>0</v>
          </cell>
        </row>
        <row r="101">
          <cell r="M101">
            <v>0</v>
          </cell>
          <cell r="T101">
            <v>0</v>
          </cell>
          <cell r="AA101">
            <v>0</v>
          </cell>
          <cell r="AH101">
            <v>0</v>
          </cell>
          <cell r="AO101">
            <v>0</v>
          </cell>
          <cell r="AV101">
            <v>0</v>
          </cell>
          <cell r="BC101">
            <v>0</v>
          </cell>
        </row>
        <row r="102">
          <cell r="A102" t="str">
            <v>온수기 외</v>
          </cell>
          <cell r="B102" t="str">
            <v>소  계</v>
          </cell>
          <cell r="C102">
            <v>16940000</v>
          </cell>
          <cell r="D102">
            <v>0</v>
          </cell>
          <cell r="E102">
            <v>16500000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</row>
        <row r="103">
          <cell r="E103">
            <v>0.97402597402597402</v>
          </cell>
          <cell r="BC103">
            <v>0</v>
          </cell>
        </row>
        <row r="104">
          <cell r="B104" t="str">
            <v>소모잡자재</v>
          </cell>
          <cell r="C104">
            <v>4353150</v>
          </cell>
          <cell r="E104">
            <v>4300000</v>
          </cell>
          <cell r="F104" t="str">
            <v>신성지엠씨</v>
          </cell>
          <cell r="J104">
            <v>68600</v>
          </cell>
          <cell r="K104">
            <v>777800</v>
          </cell>
          <cell r="L104">
            <v>168350</v>
          </cell>
          <cell r="M104">
            <v>1014750</v>
          </cell>
          <cell r="T104">
            <v>1014750</v>
          </cell>
          <cell r="AA104">
            <v>1014750</v>
          </cell>
          <cell r="AH104">
            <v>1014750</v>
          </cell>
          <cell r="AO104">
            <v>1014750</v>
          </cell>
          <cell r="AV104">
            <v>1014750</v>
          </cell>
          <cell r="BC104">
            <v>1014750</v>
          </cell>
        </row>
        <row r="105">
          <cell r="M105">
            <v>0</v>
          </cell>
          <cell r="T105">
            <v>0</v>
          </cell>
          <cell r="AA105">
            <v>0</v>
          </cell>
          <cell r="AH105">
            <v>0</v>
          </cell>
          <cell r="AO105">
            <v>0</v>
          </cell>
          <cell r="AV105">
            <v>0</v>
          </cell>
          <cell r="BC105">
            <v>0</v>
          </cell>
        </row>
        <row r="106">
          <cell r="M106">
            <v>0</v>
          </cell>
          <cell r="T106">
            <v>0</v>
          </cell>
          <cell r="AA106">
            <v>0</v>
          </cell>
          <cell r="AH106">
            <v>0</v>
          </cell>
          <cell r="AO106">
            <v>0</v>
          </cell>
          <cell r="AV106">
            <v>0</v>
          </cell>
          <cell r="BC106">
            <v>0</v>
          </cell>
        </row>
        <row r="107">
          <cell r="A107" t="str">
            <v>소모잡자재</v>
          </cell>
          <cell r="B107" t="str">
            <v>소  계</v>
          </cell>
          <cell r="C107">
            <v>4353150</v>
          </cell>
          <cell r="D107">
            <v>0</v>
          </cell>
          <cell r="E107">
            <v>4300000</v>
          </cell>
          <cell r="G107">
            <v>0</v>
          </cell>
          <cell r="H107">
            <v>0</v>
          </cell>
          <cell r="I107">
            <v>0</v>
          </cell>
          <cell r="J107">
            <v>68600</v>
          </cell>
          <cell r="K107">
            <v>777800</v>
          </cell>
          <cell r="L107">
            <v>168350</v>
          </cell>
          <cell r="M107">
            <v>1014750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1014750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1014750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1014750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1014750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1014750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1014750</v>
          </cell>
        </row>
        <row r="108">
          <cell r="E108">
            <v>0.98779045059324855</v>
          </cell>
          <cell r="BC108">
            <v>0.23598837209302326</v>
          </cell>
        </row>
        <row r="109">
          <cell r="B109" t="str">
            <v>공구손료</v>
          </cell>
          <cell r="C109">
            <v>14537912</v>
          </cell>
          <cell r="E109">
            <v>4500000</v>
          </cell>
          <cell r="F109" t="str">
            <v>신성지엠씨</v>
          </cell>
          <cell r="I109">
            <v>382500</v>
          </cell>
          <cell r="J109">
            <v>952000</v>
          </cell>
          <cell r="L109">
            <v>675200</v>
          </cell>
          <cell r="M109">
            <v>2009700</v>
          </cell>
          <cell r="T109">
            <v>2009700</v>
          </cell>
          <cell r="AA109">
            <v>2009700</v>
          </cell>
          <cell r="AH109">
            <v>2009700</v>
          </cell>
          <cell r="AO109">
            <v>2009700</v>
          </cell>
          <cell r="AV109">
            <v>2009700</v>
          </cell>
          <cell r="BC109">
            <v>2009700</v>
          </cell>
        </row>
        <row r="110">
          <cell r="M110">
            <v>0</v>
          </cell>
          <cell r="T110">
            <v>0</v>
          </cell>
          <cell r="AA110">
            <v>0</v>
          </cell>
          <cell r="AH110">
            <v>0</v>
          </cell>
          <cell r="AO110">
            <v>0</v>
          </cell>
          <cell r="AV110">
            <v>0</v>
          </cell>
        </row>
        <row r="111">
          <cell r="M111">
            <v>0</v>
          </cell>
          <cell r="T111">
            <v>0</v>
          </cell>
          <cell r="AA111">
            <v>0</v>
          </cell>
          <cell r="AH111">
            <v>0</v>
          </cell>
          <cell r="AO111">
            <v>0</v>
          </cell>
          <cell r="AV111">
            <v>0</v>
          </cell>
          <cell r="BC111">
            <v>0</v>
          </cell>
        </row>
        <row r="112">
          <cell r="A112" t="str">
            <v>공구손료</v>
          </cell>
          <cell r="B112" t="str">
            <v>소  계</v>
          </cell>
          <cell r="C112">
            <v>14537912</v>
          </cell>
          <cell r="D112">
            <v>0</v>
          </cell>
          <cell r="E112">
            <v>4500000</v>
          </cell>
          <cell r="G112">
            <v>0</v>
          </cell>
          <cell r="H112">
            <v>0</v>
          </cell>
          <cell r="I112">
            <v>382500</v>
          </cell>
          <cell r="J112">
            <v>952000</v>
          </cell>
          <cell r="K112">
            <v>0</v>
          </cell>
          <cell r="L112">
            <v>675200</v>
          </cell>
          <cell r="M112">
            <v>2009700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2009700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2009700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2009700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2009700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2009700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2009700</v>
          </cell>
        </row>
        <row r="113">
          <cell r="E113">
            <v>0.30953550963852305</v>
          </cell>
          <cell r="BC113">
            <v>0.4466</v>
          </cell>
        </row>
        <row r="114">
          <cell r="B114" t="str">
            <v>소방자재</v>
          </cell>
          <cell r="C114">
            <v>54162650</v>
          </cell>
          <cell r="E114">
            <v>53000000</v>
          </cell>
          <cell r="M114">
            <v>0</v>
          </cell>
          <cell r="T114">
            <v>0</v>
          </cell>
          <cell r="AA114">
            <v>0</v>
          </cell>
          <cell r="AH114">
            <v>0</v>
          </cell>
          <cell r="AO114">
            <v>0</v>
          </cell>
          <cell r="AV114">
            <v>0</v>
          </cell>
          <cell r="BC114">
            <v>0</v>
          </cell>
        </row>
        <row r="115">
          <cell r="M115">
            <v>0</v>
          </cell>
          <cell r="T115">
            <v>0</v>
          </cell>
          <cell r="AA115">
            <v>0</v>
          </cell>
          <cell r="AH115">
            <v>0</v>
          </cell>
          <cell r="AO115">
            <v>0</v>
          </cell>
          <cell r="AV115">
            <v>0</v>
          </cell>
          <cell r="BC115">
            <v>0</v>
          </cell>
        </row>
        <row r="116">
          <cell r="A116" t="str">
            <v>소방자재</v>
          </cell>
          <cell r="B116" t="str">
            <v>소  계</v>
          </cell>
          <cell r="C116">
            <v>54162650</v>
          </cell>
          <cell r="D116">
            <v>0</v>
          </cell>
          <cell r="E116">
            <v>53000000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E117">
            <v>0.97853410052868539</v>
          </cell>
          <cell r="BC117">
            <v>0</v>
          </cell>
        </row>
        <row r="118">
          <cell r="B118" t="str">
            <v>내진자재</v>
          </cell>
          <cell r="C118">
            <v>54836510</v>
          </cell>
          <cell r="E118">
            <v>51000000</v>
          </cell>
          <cell r="M118">
            <v>0</v>
          </cell>
          <cell r="T118">
            <v>0</v>
          </cell>
          <cell r="AA118">
            <v>0</v>
          </cell>
          <cell r="AH118">
            <v>0</v>
          </cell>
          <cell r="AO118">
            <v>0</v>
          </cell>
          <cell r="AV118">
            <v>0</v>
          </cell>
          <cell r="BC118">
            <v>0</v>
          </cell>
        </row>
        <row r="119">
          <cell r="M119">
            <v>0</v>
          </cell>
          <cell r="T119">
            <v>0</v>
          </cell>
          <cell r="AA119">
            <v>0</v>
          </cell>
          <cell r="AH119">
            <v>0</v>
          </cell>
          <cell r="AO119">
            <v>0</v>
          </cell>
          <cell r="AV119">
            <v>0</v>
          </cell>
          <cell r="BC119">
            <v>0</v>
          </cell>
        </row>
        <row r="120">
          <cell r="M120">
            <v>0</v>
          </cell>
          <cell r="T120">
            <v>0</v>
          </cell>
          <cell r="AA120">
            <v>0</v>
          </cell>
          <cell r="AH120">
            <v>0</v>
          </cell>
          <cell r="AO120">
            <v>0</v>
          </cell>
          <cell r="AV120">
            <v>0</v>
          </cell>
          <cell r="BC120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(23~25년) (2)"/>
      <sheetName val="집계표(19~22년)"/>
      <sheetName val="집계표(20~23년)"/>
      <sheetName val="집계표(21~24년)"/>
      <sheetName val="집계표(23~25년)"/>
      <sheetName val="계산서발행"/>
      <sheetName val="거래처별 투입현황"/>
      <sheetName val="거래처별현황"/>
      <sheetName val="@사장님(현장별자재투입현황(실투입)"/>
      <sheetName val="가"/>
      <sheetName val="광명센트베르푸르지오(구매결의서)"/>
      <sheetName val="광명센트베르푸르지오(구매결의서) (2)"/>
      <sheetName val="안산푸르지오브리파크2공구(구매결의서)6.28 (2)"/>
      <sheetName val="과천벨라르테(구매결의서)"/>
      <sheetName val="다산진건3블럭(구매결의서)"/>
      <sheetName val="북구청(구매결의서)-2차"/>
      <sheetName val="다산진건3블럭(구매결의서) (대표보고용)"/>
      <sheetName val="북구청(구매결의서)"/>
      <sheetName val="양산사송(구매결의서)"/>
      <sheetName val="오산세교우미린(구매결의서)"/>
      <sheetName val="수원대유평지구(구매결의서)"/>
      <sheetName val="다산지금3블럭(구매결의서)"/>
      <sheetName val="다산지금3블럭(구매결의서)소방"/>
      <sheetName val="김포북변우미린(구매결의서)"/>
      <sheetName val="송내역푸르지오(구매결의서)"/>
      <sheetName val="금정역(구매결의서)"/>
      <sheetName val="용인은하삼(구매결의서)"/>
      <sheetName val="과천ST세대창고(구매결의서)"/>
      <sheetName val="현장명(구매결의서)"/>
      <sheetName val="Sheet2"/>
      <sheetName val="양산사송(구매결의서) (2)"/>
      <sheetName val="다산현장월별투입"/>
      <sheetName val="북구청현장월별투입"/>
      <sheetName val="오산현장월별투입"/>
      <sheetName val="양산현장월별투입"/>
      <sheetName val="수원현장월별투입"/>
      <sheetName val="북구청(구매결의서) (2)"/>
      <sheetName val="집계표(21~24년) (2)"/>
      <sheetName val="계산서발행(24년)"/>
      <sheetName val="거래처별 투입현황(24년)"/>
      <sheetName val="거래처별현황(24년)"/>
      <sheetName val="@사장님(현장별자재투입현황(실투입)(24년)"/>
      <sheetName val="Sheet1"/>
      <sheetName val="자재비 집계표.구매결의서(24년)최종본"/>
      <sheetName val="집계표(21~24년) (3)"/>
      <sheetName val="계산서발행(25년)"/>
      <sheetName val="거래처별 투입현황(25년)"/>
      <sheetName val="거래처별현황(25년)"/>
      <sheetName val="집계표(24~26년)"/>
    </sheetNames>
    <sheetDataSet>
      <sheetData sheetId="0"/>
      <sheetData sheetId="1"/>
      <sheetData sheetId="2"/>
      <sheetData sheetId="3">
        <row r="492">
          <cell r="I492">
            <v>191307690</v>
          </cell>
        </row>
      </sheetData>
      <sheetData sheetId="4">
        <row r="256">
          <cell r="I256">
            <v>14040110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 t="str">
            <v>자  재  명</v>
          </cell>
        </row>
      </sheetData>
      <sheetData sheetId="20"/>
      <sheetData sheetId="21">
        <row r="2">
          <cell r="B2" t="str">
            <v>자  재  명</v>
          </cell>
        </row>
      </sheetData>
      <sheetData sheetId="22">
        <row r="2">
          <cell r="A2"/>
        </row>
      </sheetData>
      <sheetData sheetId="23">
        <row r="2">
          <cell r="B2" t="str">
            <v>자  재  명</v>
          </cell>
        </row>
      </sheetData>
      <sheetData sheetId="24">
        <row r="2">
          <cell r="A2"/>
        </row>
      </sheetData>
      <sheetData sheetId="25">
        <row r="2">
          <cell r="B2" t="str">
            <v>자  재  명</v>
          </cell>
        </row>
        <row r="174">
          <cell r="C174"/>
        </row>
      </sheetData>
      <sheetData sheetId="26">
        <row r="2">
          <cell r="B2" t="str">
            <v>자  재  명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AI189"/>
  <sheetViews>
    <sheetView tabSelected="1" view="pageBreakPreview" zoomScale="85" zoomScaleNormal="70" zoomScaleSheetLayoutView="85" workbookViewId="0">
      <selection activeCell="C17" sqref="C17"/>
    </sheetView>
  </sheetViews>
  <sheetFormatPr baseColWidth="8" defaultRowHeight="16.5"/>
  <cols>
    <col width="0.875" customWidth="1" style="216" min="1" max="1"/>
    <col width="22.625" customWidth="1" style="375" min="2" max="2"/>
    <col width="18.625" customWidth="1" style="2" min="3" max="3"/>
    <col width="5.25" customWidth="1" style="1" min="4" max="4"/>
    <col width="5.875" customWidth="1" style="1" min="5" max="6"/>
    <col width="10.875" customWidth="1" style="1" min="7" max="10"/>
    <col width="2.625" customWidth="1" style="1" min="11" max="11"/>
    <col width="4.625" customWidth="1" style="1" min="12" max="12"/>
    <col width="4.125" customWidth="1" style="1" min="13" max="13"/>
    <col width="6.125" customWidth="1" style="1" min="14" max="14"/>
    <col width="4.75" customWidth="1" style="1" min="15" max="15"/>
    <col width="6.125" customWidth="1" style="1" min="16" max="16"/>
    <col width="4.125" customWidth="1" style="1" min="17" max="17"/>
    <col width="5.625" customWidth="1" style="1" min="18" max="18"/>
    <col width="3.875" customWidth="1" style="1" min="19" max="19"/>
    <col width="8.625" customWidth="1" style="1" min="20" max="23"/>
    <col width="0.75" customWidth="1" style="216" min="24" max="24"/>
    <col width="11.625" customWidth="1" style="376" min="25" max="26"/>
    <col width="13.625" customWidth="1" style="376" min="27" max="27"/>
  </cols>
  <sheetData>
    <row r="1" ht="5.25" customFormat="1" customHeight="1" s="1">
      <c r="A1" s="216" t="n"/>
      <c r="B1" s="375" t="n"/>
      <c r="C1" s="2" t="n"/>
      <c r="X1" s="216" t="n"/>
      <c r="Y1" s="377" t="n"/>
      <c r="Z1" s="377" t="n"/>
      <c r="AA1" s="377" t="n"/>
    </row>
    <row r="2" ht="22.5" customFormat="1" customHeight="1" s="1">
      <c r="A2" s="216" t="n"/>
      <c r="B2" s="378" t="n"/>
      <c r="C2" s="2" t="n"/>
      <c r="U2" s="281" t="n"/>
      <c r="X2" s="216" t="n"/>
      <c r="Y2" s="377" t="n"/>
      <c r="Z2" s="377" t="n"/>
      <c r="AA2" s="377" t="n"/>
    </row>
    <row r="3" ht="35.25" customFormat="1" customHeight="1" s="1">
      <c r="A3" s="216" t="n"/>
      <c r="B3" s="379" t="inlineStr">
        <is>
          <t xml:space="preserve">                                            </t>
        </is>
      </c>
      <c r="C3" s="2" t="n"/>
      <c r="D3" s="200" t="n"/>
      <c r="E3" s="200" t="n"/>
      <c r="F3" s="200" t="n"/>
      <c r="G3" s="200" t="n"/>
      <c r="H3" s="200" t="inlineStr">
        <is>
          <t>구  매  청  구  서</t>
        </is>
      </c>
      <c r="I3" s="200" t="n"/>
      <c r="J3" s="200" t="n"/>
      <c r="K3" s="200" t="n"/>
      <c r="L3" s="200" t="n"/>
      <c r="M3" s="200" t="n"/>
      <c r="N3" s="200" t="n"/>
      <c r="O3" s="200" t="n"/>
      <c r="P3" s="200" t="n"/>
      <c r="Q3" s="200" t="n"/>
      <c r="R3" s="200" t="n"/>
      <c r="S3" s="200" t="n"/>
      <c r="T3" s="200" t="n"/>
      <c r="U3" s="380" t="n"/>
      <c r="V3" s="201" t="n"/>
      <c r="W3" s="201" t="n"/>
      <c r="X3" s="216" t="n"/>
      <c r="Y3" s="377" t="n"/>
      <c r="Z3" s="377" t="n"/>
      <c r="AA3" s="377" t="n"/>
    </row>
    <row r="4" ht="21.75" customFormat="1" customHeight="1" s="1">
      <c r="A4" s="216" t="n"/>
      <c r="B4" s="381" t="inlineStr">
        <is>
          <t xml:space="preserve">현장명 : </t>
        </is>
      </c>
      <c r="C4" s="210" t="n"/>
      <c r="D4" s="211" t="n"/>
      <c r="E4" s="211" t="n"/>
      <c r="F4" s="212" t="n"/>
      <c r="L4" s="309" t="inlineStr">
        <is>
          <t>결의번호 : 제</t>
        </is>
      </c>
      <c r="M4" s="382" t="n"/>
      <c r="N4" s="382" t="n"/>
      <c r="O4" s="308" t="n"/>
      <c r="P4" s="382" t="n"/>
      <c r="Q4" s="382" t="n"/>
      <c r="R4" s="213" t="inlineStr">
        <is>
          <t>-</t>
        </is>
      </c>
      <c r="S4" s="214" t="n"/>
      <c r="T4" s="214" t="inlineStr">
        <is>
          <t>호</t>
        </is>
      </c>
      <c r="U4" s="383" t="n"/>
      <c r="V4" s="382" t="n"/>
      <c r="W4" s="382" t="n"/>
      <c r="X4" s="216" t="n"/>
      <c r="Y4" s="377" t="n"/>
      <c r="Z4" s="300" t="inlineStr">
        <is>
          <t>기 반 입 물 량</t>
        </is>
      </c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</row>
    <row r="5" ht="27.95" customFormat="1" customHeight="1" s="3">
      <c r="A5" s="217" t="n"/>
      <c r="B5" s="384" t="inlineStr">
        <is>
          <t>품  명</t>
        </is>
      </c>
      <c r="C5" s="312" t="inlineStr">
        <is>
          <t>규  격</t>
        </is>
      </c>
      <c r="D5" s="312" t="inlineStr">
        <is>
          <t>단위</t>
        </is>
      </c>
      <c r="E5" s="316" t="inlineStr">
        <is>
          <t>계약내역량</t>
        </is>
      </c>
      <c r="F5" s="385" t="n"/>
      <c r="G5" s="386" t="inlineStr">
        <is>
          <t>실 행 량</t>
        </is>
      </c>
      <c r="H5" s="387" t="inlineStr">
        <is>
          <t>청 구 및 반 입 수 량</t>
        </is>
      </c>
      <c r="I5" s="388" t="n"/>
      <c r="J5" s="389" t="inlineStr">
        <is>
          <t>본 / (비고)</t>
        </is>
      </c>
      <c r="K5" s="390" t="inlineStr">
        <is>
          <t>발   주   결   의 (본사 작성분)</t>
        </is>
      </c>
      <c r="L5" s="391" t="n"/>
      <c r="M5" s="391" t="n"/>
      <c r="N5" s="391" t="n"/>
      <c r="O5" s="391" t="n"/>
      <c r="P5" s="391" t="n"/>
      <c r="Q5" s="388" t="n"/>
      <c r="R5" s="288" t="inlineStr">
        <is>
          <t>거래선</t>
        </is>
      </c>
      <c r="S5" s="392" t="n"/>
      <c r="T5" s="393" t="inlineStr">
        <is>
          <t>비    고
(청구 내용 상세히 작성해주세요.)</t>
        </is>
      </c>
      <c r="U5" s="385" t="n"/>
      <c r="V5" s="385" t="n"/>
      <c r="W5" s="392" t="n"/>
      <c r="X5" s="217" t="n"/>
      <c r="Y5" s="394" t="inlineStr">
        <is>
          <t>실행물량
잔여수량</t>
        </is>
      </c>
      <c r="Z5" s="395" t="inlineStr">
        <is>
          <t>기반입+
금최청구
수량</t>
        </is>
      </c>
      <c r="AA5" s="395" t="inlineStr">
        <is>
          <t>기반입
총금액</t>
        </is>
      </c>
      <c r="AB5" s="301" t="n"/>
      <c r="AC5" s="301" t="n"/>
      <c r="AD5" s="301" t="n"/>
      <c r="AE5" s="301" t="n"/>
      <c r="AF5" s="301" t="n"/>
      <c r="AG5" s="301" t="n"/>
      <c r="AH5" s="301" t="n"/>
      <c r="AI5" s="301" t="n"/>
    </row>
    <row r="6" ht="27.95" customFormat="1" customHeight="1" s="3">
      <c r="A6" s="217" t="n"/>
      <c r="B6" s="396" t="n"/>
      <c r="C6" s="396" t="n"/>
      <c r="D6" s="396" t="n"/>
      <c r="E6" s="218" t="inlineStr">
        <is>
          <t>수량</t>
        </is>
      </c>
      <c r="F6" s="219" t="inlineStr">
        <is>
          <t>단가</t>
        </is>
      </c>
      <c r="G6" s="397" t="n"/>
      <c r="H6" s="220" t="inlineStr">
        <is>
          <t>기반입</t>
        </is>
      </c>
      <c r="I6" s="221" t="inlineStr">
        <is>
          <t>금회청구</t>
        </is>
      </c>
      <c r="J6" s="382" t="n"/>
      <c r="K6" s="398" t="inlineStr">
        <is>
          <t>발주수량</t>
        </is>
      </c>
      <c r="L6" s="391" t="n"/>
      <c r="M6" s="399" t="n"/>
      <c r="N6" s="312" t="inlineStr">
        <is>
          <t>단   가</t>
        </is>
      </c>
      <c r="O6" s="399" t="n"/>
      <c r="P6" s="312" t="inlineStr">
        <is>
          <t>금   액</t>
        </is>
      </c>
      <c r="Q6" s="399" t="n"/>
      <c r="R6" s="382" t="n"/>
      <c r="S6" s="400" t="n"/>
      <c r="T6" s="401" t="n"/>
      <c r="U6" s="382" t="n"/>
      <c r="V6" s="382" t="n"/>
      <c r="W6" s="400" t="n"/>
      <c r="X6" s="217" t="n"/>
      <c r="Y6" s="400" t="n"/>
      <c r="Z6" s="396" t="n"/>
      <c r="AA6" s="396" t="n"/>
      <c r="AB6" s="396" t="n"/>
      <c r="AC6" s="396" t="n"/>
      <c r="AD6" s="396" t="n"/>
      <c r="AE6" s="396" t="n"/>
      <c r="AF6" s="396" t="n"/>
      <c r="AG6" s="396" t="n"/>
      <c r="AH6" s="396" t="n"/>
      <c r="AI6" s="396" t="n"/>
    </row>
    <row r="7" ht="27" customFormat="1" customHeight="1" s="3">
      <c r="A7" s="217" t="n"/>
      <c r="B7" s="402" t="n"/>
      <c r="C7" s="402" t="n"/>
      <c r="D7" s="112" t="n"/>
      <c r="E7" s="403" t="n"/>
      <c r="F7" s="404" t="n"/>
      <c r="G7" s="405" t="n"/>
      <c r="H7" s="406" t="n"/>
      <c r="I7" s="407" t="n"/>
      <c r="J7" s="408" t="n"/>
      <c r="K7" s="409" t="n"/>
      <c r="L7" s="391" t="n"/>
      <c r="M7" s="399" t="n"/>
      <c r="N7" s="410" t="n"/>
      <c r="O7" s="399" t="n"/>
      <c r="P7" s="411" t="n"/>
      <c r="Q7" s="399" t="n"/>
      <c r="R7" s="412" t="n"/>
      <c r="S7" s="399" t="n"/>
      <c r="T7" s="413" t="inlineStr">
        <is>
          <t>사용 목적</t>
        </is>
      </c>
      <c r="U7" s="382" t="n"/>
      <c r="V7" s="382" t="n"/>
      <c r="W7" s="400" t="n"/>
      <c r="X7" s="217" t="n"/>
      <c r="Y7" s="414" t="n"/>
      <c r="Z7" s="415">
        <f>H7+I7</f>
        <v/>
      </c>
      <c r="AA7" s="414" t="n"/>
      <c r="AB7" s="123" t="n"/>
      <c r="AC7" s="123" t="n"/>
      <c r="AD7" s="123" t="n"/>
      <c r="AE7" s="123" t="n"/>
      <c r="AF7" s="123" t="n"/>
      <c r="AG7" s="123" t="n"/>
      <c r="AH7" s="123" t="n"/>
      <c r="AI7" s="123" t="n"/>
    </row>
    <row r="8" ht="27" customFormat="1" customHeight="1" s="3">
      <c r="A8" s="217" t="n"/>
      <c r="B8" s="416" t="n"/>
      <c r="C8" s="412" t="n"/>
      <c r="D8" s="112" t="n"/>
      <c r="E8" s="403" t="n"/>
      <c r="F8" s="404" t="n"/>
      <c r="G8" s="405" t="n"/>
      <c r="H8" s="406" t="n"/>
      <c r="I8" s="407" t="n"/>
      <c r="J8" s="408" t="n"/>
      <c r="K8" s="409" t="n"/>
      <c r="L8" s="391" t="n"/>
      <c r="M8" s="399" t="n"/>
      <c r="N8" s="410" t="n"/>
      <c r="O8" s="399" t="n"/>
      <c r="P8" s="411" t="n"/>
      <c r="Q8" s="399" t="n"/>
      <c r="R8" s="412" t="n"/>
      <c r="S8" s="399" t="n"/>
      <c r="T8" s="417" t="n"/>
      <c r="U8" s="391" t="n"/>
      <c r="V8" s="391" t="n"/>
      <c r="W8" s="399" t="n"/>
      <c r="X8" s="217" t="n"/>
      <c r="Y8" s="414">
        <f>G8-H8-I8</f>
        <v/>
      </c>
      <c r="Z8" s="414">
        <f>H8+I8</f>
        <v/>
      </c>
      <c r="AA8" s="414">
        <f>H8*N8</f>
        <v/>
      </c>
      <c r="AB8" s="123" t="n"/>
      <c r="AC8" s="123" t="n"/>
      <c r="AD8" s="123" t="n"/>
      <c r="AE8" s="123" t="n"/>
      <c r="AF8" s="123" t="n"/>
      <c r="AG8" s="123" t="n"/>
      <c r="AH8" s="123" t="n"/>
      <c r="AI8" s="123" t="n"/>
    </row>
    <row r="9" ht="27" customFormat="1" customHeight="1" s="3">
      <c r="A9" s="217" t="n"/>
      <c r="B9" s="418" t="n"/>
      <c r="C9" s="419" t="n"/>
      <c r="D9" s="113" t="n"/>
      <c r="E9" s="403" t="n"/>
      <c r="F9" s="404" t="n"/>
      <c r="G9" s="420" t="n"/>
      <c r="H9" s="406" t="n"/>
      <c r="I9" s="407" t="n"/>
      <c r="J9" s="408" t="n"/>
      <c r="K9" s="409" t="n"/>
      <c r="L9" s="391" t="n"/>
      <c r="M9" s="399" t="n"/>
      <c r="N9" s="410" t="n"/>
      <c r="O9" s="399" t="n"/>
      <c r="P9" s="411" t="n"/>
      <c r="Q9" s="399" t="n"/>
      <c r="R9" s="412" t="n"/>
      <c r="S9" s="399" t="n"/>
      <c r="T9" s="417" t="n"/>
      <c r="U9" s="391" t="n"/>
      <c r="V9" s="391" t="n"/>
      <c r="W9" s="399" t="n"/>
      <c r="X9" s="217" t="n"/>
      <c r="Y9" s="414">
        <f>G9-H9-I9</f>
        <v/>
      </c>
      <c r="Z9" s="414">
        <f>H9+I9</f>
        <v/>
      </c>
      <c r="AA9" s="414">
        <f>H9*N9</f>
        <v/>
      </c>
      <c r="AB9" s="123" t="n"/>
      <c r="AC9" s="123" t="n"/>
      <c r="AD9" s="123" t="n"/>
      <c r="AE9" s="123" t="n"/>
      <c r="AF9" s="123" t="n"/>
      <c r="AG9" s="123" t="n"/>
      <c r="AH9" s="123" t="n"/>
      <c r="AI9" s="123" t="n"/>
    </row>
    <row r="10" ht="27" customFormat="1" customHeight="1" s="3">
      <c r="A10" s="217" t="n"/>
      <c r="B10" s="418" t="n"/>
      <c r="C10" s="419" t="n"/>
      <c r="D10" s="113" t="n"/>
      <c r="E10" s="403" t="n"/>
      <c r="F10" s="404" t="n"/>
      <c r="G10" s="420" t="n"/>
      <c r="H10" s="406" t="n"/>
      <c r="I10" s="407" t="n"/>
      <c r="J10" s="408" t="n"/>
      <c r="K10" s="409" t="n"/>
      <c r="L10" s="391" t="n"/>
      <c r="M10" s="399" t="n"/>
      <c r="N10" s="410" t="n"/>
      <c r="O10" s="399" t="n"/>
      <c r="P10" s="411" t="n"/>
      <c r="Q10" s="399" t="n"/>
      <c r="R10" s="412" t="n"/>
      <c r="S10" s="399" t="n"/>
      <c r="T10" s="417" t="n"/>
      <c r="U10" s="391" t="n"/>
      <c r="V10" s="391" t="n"/>
      <c r="W10" s="399" t="n"/>
      <c r="X10" s="217" t="n"/>
      <c r="Y10" s="414">
        <f>G10-H10-I10</f>
        <v/>
      </c>
      <c r="Z10" s="414">
        <f>H10+I10</f>
        <v/>
      </c>
      <c r="AA10" s="414">
        <f>H10*N10</f>
        <v/>
      </c>
      <c r="AB10" s="123" t="n"/>
      <c r="AC10" s="123" t="n"/>
      <c r="AD10" s="123" t="n"/>
      <c r="AE10" s="123" t="n"/>
      <c r="AF10" s="123" t="n"/>
      <c r="AG10" s="123" t="n"/>
      <c r="AH10" s="123" t="n"/>
      <c r="AI10" s="123" t="n"/>
    </row>
    <row r="11" ht="27" customFormat="1" customHeight="1" s="3">
      <c r="A11" s="217" t="n"/>
      <c r="B11" s="418" t="n"/>
      <c r="C11" s="419" t="n"/>
      <c r="D11" s="113" t="n"/>
      <c r="E11" s="403" t="n"/>
      <c r="F11" s="404" t="n"/>
      <c r="G11" s="420" t="n"/>
      <c r="H11" s="406" t="n"/>
      <c r="I11" s="407" t="n"/>
      <c r="J11" s="408" t="n"/>
      <c r="K11" s="409" t="n"/>
      <c r="L11" s="391" t="n"/>
      <c r="M11" s="399" t="n"/>
      <c r="N11" s="410" t="n"/>
      <c r="O11" s="399" t="n"/>
      <c r="P11" s="411" t="n"/>
      <c r="Q11" s="399" t="n"/>
      <c r="R11" s="412" t="n"/>
      <c r="S11" s="399" t="n"/>
      <c r="T11" s="417" t="n"/>
      <c r="U11" s="391" t="n"/>
      <c r="V11" s="391" t="n"/>
      <c r="W11" s="399" t="n"/>
      <c r="X11" s="217" t="n"/>
      <c r="Y11" s="414">
        <f>G11-H11-I11</f>
        <v/>
      </c>
      <c r="Z11" s="414">
        <f>H11+I11</f>
        <v/>
      </c>
      <c r="AA11" s="414">
        <f>H11*N11</f>
        <v/>
      </c>
      <c r="AB11" s="123" t="n"/>
      <c r="AC11" s="123" t="n"/>
      <c r="AD11" s="123" t="n"/>
      <c r="AE11" s="123" t="n"/>
      <c r="AF11" s="123" t="n"/>
      <c r="AG11" s="123" t="n"/>
      <c r="AH11" s="123" t="n"/>
      <c r="AI11" s="123" t="n"/>
    </row>
    <row r="12" ht="27" customFormat="1" customHeight="1" s="3">
      <c r="A12" s="217" t="n"/>
      <c r="B12" s="418" t="n"/>
      <c r="C12" s="419" t="n"/>
      <c r="D12" s="113" t="n"/>
      <c r="E12" s="403" t="n"/>
      <c r="F12" s="404" t="n"/>
      <c r="G12" s="420" t="n"/>
      <c r="H12" s="406" t="n"/>
      <c r="I12" s="407" t="n"/>
      <c r="J12" s="408" t="n"/>
      <c r="K12" s="409" t="n"/>
      <c r="L12" s="391" t="n"/>
      <c r="M12" s="399" t="n"/>
      <c r="N12" s="410" t="n"/>
      <c r="O12" s="399" t="n"/>
      <c r="P12" s="411" t="n"/>
      <c r="Q12" s="399" t="n"/>
      <c r="R12" s="412" t="n"/>
      <c r="S12" s="399" t="n"/>
      <c r="T12" s="417" t="n"/>
      <c r="U12" s="391" t="n"/>
      <c r="V12" s="391" t="n"/>
      <c r="W12" s="399" t="n"/>
      <c r="X12" s="217" t="n"/>
      <c r="Y12" s="414">
        <f>G12-H12-I12</f>
        <v/>
      </c>
      <c r="Z12" s="414">
        <f>H12+I12</f>
        <v/>
      </c>
      <c r="AA12" s="414">
        <f>H12*N12</f>
        <v/>
      </c>
      <c r="AB12" s="123" t="n"/>
      <c r="AC12" s="123" t="n"/>
      <c r="AD12" s="123" t="n"/>
      <c r="AE12" s="123" t="n"/>
      <c r="AF12" s="123" t="n"/>
      <c r="AG12" s="123" t="n"/>
      <c r="AH12" s="123" t="n"/>
      <c r="AI12" s="123" t="n"/>
    </row>
    <row r="13" ht="27" customFormat="1" customHeight="1" s="3">
      <c r="A13" s="217" t="n"/>
      <c r="B13" s="418" t="n"/>
      <c r="C13" s="419" t="n"/>
      <c r="D13" s="113" t="n"/>
      <c r="E13" s="403" t="n"/>
      <c r="F13" s="404" t="n"/>
      <c r="G13" s="420" t="n"/>
      <c r="H13" s="406" t="n"/>
      <c r="I13" s="407" t="n"/>
      <c r="J13" s="408" t="n"/>
      <c r="K13" s="409" t="n"/>
      <c r="L13" s="391" t="n"/>
      <c r="M13" s="399" t="n"/>
      <c r="N13" s="410" t="n"/>
      <c r="O13" s="399" t="n"/>
      <c r="P13" s="411" t="n"/>
      <c r="Q13" s="399" t="n"/>
      <c r="R13" s="412" t="n"/>
      <c r="S13" s="399" t="n"/>
      <c r="T13" s="417" t="n"/>
      <c r="U13" s="391" t="n"/>
      <c r="V13" s="391" t="n"/>
      <c r="W13" s="399" t="n"/>
      <c r="X13" s="217" t="n"/>
      <c r="Y13" s="414">
        <f>G13-H13-I13</f>
        <v/>
      </c>
      <c r="Z13" s="414">
        <f>H13+I13</f>
        <v/>
      </c>
      <c r="AA13" s="414">
        <f>H13*N13</f>
        <v/>
      </c>
      <c r="AB13" s="123" t="n"/>
      <c r="AC13" s="123" t="n"/>
      <c r="AD13" s="123" t="n"/>
      <c r="AE13" s="123" t="n"/>
      <c r="AF13" s="123" t="n"/>
      <c r="AG13" s="123" t="n"/>
      <c r="AH13" s="123" t="n"/>
      <c r="AI13" s="123" t="n"/>
    </row>
    <row r="14" ht="27" customFormat="1" customHeight="1" s="3">
      <c r="A14" s="217" t="n"/>
      <c r="B14" s="418" t="n"/>
      <c r="C14" s="419" t="n"/>
      <c r="D14" s="113" t="n"/>
      <c r="E14" s="403" t="n"/>
      <c r="F14" s="404" t="n"/>
      <c r="G14" s="420" t="n"/>
      <c r="H14" s="406" t="n"/>
      <c r="I14" s="407" t="n"/>
      <c r="J14" s="408" t="n"/>
      <c r="K14" s="409" t="n"/>
      <c r="L14" s="391" t="n"/>
      <c r="M14" s="399" t="n"/>
      <c r="N14" s="410" t="n"/>
      <c r="O14" s="399" t="n"/>
      <c r="P14" s="411" t="n"/>
      <c r="Q14" s="399" t="n"/>
      <c r="R14" s="412" t="n"/>
      <c r="S14" s="399" t="n"/>
      <c r="T14" s="417" t="n"/>
      <c r="U14" s="391" t="n"/>
      <c r="V14" s="391" t="n"/>
      <c r="W14" s="399" t="n"/>
      <c r="X14" s="217" t="n"/>
      <c r="Y14" s="414">
        <f>G14-H14-I14</f>
        <v/>
      </c>
      <c r="Z14" s="414">
        <f>H14+I14</f>
        <v/>
      </c>
      <c r="AA14" s="414">
        <f>H14*N14</f>
        <v/>
      </c>
      <c r="AB14" s="123" t="n"/>
      <c r="AC14" s="123" t="n"/>
      <c r="AD14" s="123" t="n"/>
      <c r="AE14" s="123" t="n"/>
      <c r="AF14" s="123" t="n"/>
      <c r="AG14" s="123" t="n"/>
      <c r="AH14" s="123" t="n"/>
      <c r="AI14" s="123" t="n"/>
    </row>
    <row r="15" ht="27" customFormat="1" customHeight="1" s="3">
      <c r="A15" s="217" t="n"/>
      <c r="B15" s="418" t="n"/>
      <c r="C15" s="419" t="n"/>
      <c r="D15" s="113" t="n"/>
      <c r="E15" s="403" t="n"/>
      <c r="F15" s="404" t="n"/>
      <c r="G15" s="420" t="n"/>
      <c r="H15" s="406" t="n"/>
      <c r="I15" s="407" t="n"/>
      <c r="J15" s="408" t="n"/>
      <c r="K15" s="409" t="n"/>
      <c r="L15" s="391" t="n"/>
      <c r="M15" s="399" t="n"/>
      <c r="N15" s="410" t="n"/>
      <c r="O15" s="399" t="n"/>
      <c r="P15" s="411" t="n"/>
      <c r="Q15" s="399" t="n"/>
      <c r="R15" s="412" t="n"/>
      <c r="S15" s="399" t="n"/>
      <c r="T15" s="417" t="n"/>
      <c r="U15" s="391" t="n"/>
      <c r="V15" s="391" t="n"/>
      <c r="W15" s="399" t="n"/>
      <c r="X15" s="217" t="n"/>
      <c r="Y15" s="414">
        <f>G15-H15-I15</f>
        <v/>
      </c>
      <c r="Z15" s="414">
        <f>H15+I15</f>
        <v/>
      </c>
      <c r="AA15" s="414">
        <f>H15*N15</f>
        <v/>
      </c>
      <c r="AB15" s="123" t="n"/>
      <c r="AC15" s="123" t="n"/>
      <c r="AD15" s="123" t="n"/>
      <c r="AE15" s="123" t="n"/>
      <c r="AF15" s="123" t="n"/>
      <c r="AG15" s="123" t="n"/>
      <c r="AH15" s="123" t="n"/>
      <c r="AI15" s="123" t="n"/>
    </row>
    <row r="16" ht="27" customFormat="1" customHeight="1" s="3">
      <c r="A16" s="217" t="n"/>
      <c r="B16" s="418" t="n"/>
      <c r="C16" s="419" t="n"/>
      <c r="D16" s="113" t="n"/>
      <c r="E16" s="403" t="n"/>
      <c r="F16" s="404" t="n"/>
      <c r="G16" s="420" t="n"/>
      <c r="H16" s="406" t="n"/>
      <c r="I16" s="407" t="n"/>
      <c r="J16" s="408" t="n"/>
      <c r="K16" s="409" t="n"/>
      <c r="L16" s="391" t="n"/>
      <c r="M16" s="399" t="n"/>
      <c r="N16" s="410" t="n"/>
      <c r="O16" s="399" t="n"/>
      <c r="P16" s="411" t="n"/>
      <c r="Q16" s="399" t="n"/>
      <c r="R16" s="412" t="n"/>
      <c r="S16" s="399" t="n"/>
      <c r="T16" s="417" t="n"/>
      <c r="U16" s="391" t="n"/>
      <c r="V16" s="391" t="n"/>
      <c r="W16" s="399" t="n"/>
      <c r="X16" s="217" t="n"/>
      <c r="Y16" s="414">
        <f>G16-H16-I16</f>
        <v/>
      </c>
      <c r="Z16" s="414">
        <f>H16+I16</f>
        <v/>
      </c>
      <c r="AA16" s="414">
        <f>H16*N16</f>
        <v/>
      </c>
      <c r="AB16" s="123" t="n"/>
      <c r="AC16" s="123" t="n"/>
      <c r="AD16" s="123" t="n"/>
      <c r="AE16" s="123" t="n"/>
      <c r="AF16" s="123" t="n"/>
      <c r="AG16" s="123" t="n"/>
      <c r="AH16" s="123" t="n"/>
      <c r="AI16" s="123" t="n"/>
    </row>
    <row r="17" ht="27" customFormat="1" customHeight="1" s="3">
      <c r="A17" s="217" t="n"/>
      <c r="B17" s="418" t="n"/>
      <c r="C17" s="419" t="n"/>
      <c r="D17" s="113" t="n"/>
      <c r="E17" s="403" t="n"/>
      <c r="F17" s="404" t="n"/>
      <c r="G17" s="420" t="n"/>
      <c r="H17" s="406" t="n"/>
      <c r="I17" s="407" t="n"/>
      <c r="J17" s="408" t="n"/>
      <c r="K17" s="409" t="n"/>
      <c r="L17" s="391" t="n"/>
      <c r="M17" s="399" t="n"/>
      <c r="N17" s="410" t="n"/>
      <c r="O17" s="399" t="n"/>
      <c r="P17" s="421" t="n"/>
      <c r="Q17" s="388" t="n"/>
      <c r="R17" s="412" t="n"/>
      <c r="S17" s="399" t="n"/>
      <c r="T17" s="417" t="n"/>
      <c r="U17" s="391" t="n"/>
      <c r="V17" s="391" t="n"/>
      <c r="W17" s="399" t="n"/>
      <c r="X17" s="217" t="n"/>
      <c r="Y17" s="414">
        <f>G17-H17-I17</f>
        <v/>
      </c>
      <c r="Z17" s="414">
        <f>H17+I17</f>
        <v/>
      </c>
      <c r="AA17" s="414">
        <f>H17*N17</f>
        <v/>
      </c>
      <c r="AB17" s="123" t="n"/>
      <c r="AC17" s="123" t="n"/>
      <c r="AD17" s="123" t="n"/>
      <c r="AE17" s="123" t="n"/>
      <c r="AF17" s="123" t="n"/>
      <c r="AG17" s="123" t="n"/>
      <c r="AH17" s="123" t="n"/>
      <c r="AI17" s="123" t="n"/>
    </row>
    <row r="18" ht="27" customFormat="1" customHeight="1" s="3">
      <c r="A18" s="217" t="n"/>
      <c r="B18" s="418" t="n"/>
      <c r="C18" s="419" t="n"/>
      <c r="D18" s="113" t="n"/>
      <c r="E18" s="403" t="n"/>
      <c r="F18" s="404" t="n"/>
      <c r="G18" s="420" t="n"/>
      <c r="H18" s="406" t="n"/>
      <c r="I18" s="407" t="n"/>
      <c r="J18" s="408" t="n"/>
      <c r="K18" s="409" t="n"/>
      <c r="L18" s="391" t="n"/>
      <c r="M18" s="399" t="n"/>
      <c r="N18" s="410" t="n"/>
      <c r="O18" s="399" t="n"/>
      <c r="P18" s="421" t="n"/>
      <c r="Q18" s="388" t="n"/>
      <c r="R18" s="412" t="n"/>
      <c r="S18" s="399" t="n"/>
      <c r="T18" s="417" t="n"/>
      <c r="U18" s="391" t="n"/>
      <c r="V18" s="391" t="n"/>
      <c r="W18" s="399" t="n"/>
      <c r="X18" s="217" t="n"/>
      <c r="Y18" s="414">
        <f>G18-H18-I18</f>
        <v/>
      </c>
      <c r="Z18" s="414">
        <f>H18+I18</f>
        <v/>
      </c>
      <c r="AA18" s="414">
        <f>H18*N18</f>
        <v/>
      </c>
      <c r="AB18" s="123" t="n"/>
      <c r="AC18" s="123" t="n"/>
      <c r="AD18" s="123" t="n"/>
      <c r="AE18" s="123" t="n"/>
      <c r="AF18" s="123" t="n"/>
      <c r="AG18" s="123" t="n"/>
      <c r="AH18" s="123" t="n"/>
      <c r="AI18" s="123" t="n"/>
    </row>
    <row r="19" ht="27" customFormat="1" customHeight="1" s="3">
      <c r="A19" s="217" t="n"/>
      <c r="B19" s="418" t="n"/>
      <c r="C19" s="419" t="n"/>
      <c r="D19" s="113" t="n"/>
      <c r="E19" s="403" t="n"/>
      <c r="F19" s="404" t="n"/>
      <c r="G19" s="420" t="n"/>
      <c r="H19" s="406" t="n"/>
      <c r="I19" s="407" t="n"/>
      <c r="J19" s="408" t="n"/>
      <c r="K19" s="409" t="n"/>
      <c r="L19" s="391" t="n"/>
      <c r="M19" s="399" t="n"/>
      <c r="N19" s="410" t="n"/>
      <c r="O19" s="399" t="n"/>
      <c r="P19" s="411" t="n"/>
      <c r="Q19" s="399" t="n"/>
      <c r="R19" s="412" t="n"/>
      <c r="S19" s="399" t="n"/>
      <c r="T19" s="417" t="n"/>
      <c r="U19" s="391" t="n"/>
      <c r="V19" s="391" t="n"/>
      <c r="W19" s="399" t="n"/>
      <c r="X19" s="217" t="n"/>
      <c r="Y19" s="414">
        <f>G19-H19-I19</f>
        <v/>
      </c>
      <c r="Z19" s="414">
        <f>H19+I19</f>
        <v/>
      </c>
      <c r="AA19" s="414">
        <f>H19*N19</f>
        <v/>
      </c>
      <c r="AB19" s="123" t="n"/>
      <c r="AC19" s="123" t="n"/>
      <c r="AD19" s="123" t="n"/>
      <c r="AE19" s="123" t="n"/>
      <c r="AF19" s="123" t="n"/>
      <c r="AG19" s="123" t="n"/>
      <c r="AH19" s="123" t="n"/>
      <c r="AI19" s="123" t="n"/>
    </row>
    <row r="20" ht="27" customFormat="1" customHeight="1" s="3" thickBot="1">
      <c r="A20" s="217" t="n"/>
      <c r="B20" s="418" t="n"/>
      <c r="C20" s="419" t="n"/>
      <c r="D20" s="113" t="n"/>
      <c r="E20" s="403" t="n"/>
      <c r="F20" s="404" t="n"/>
      <c r="G20" s="420" t="n"/>
      <c r="H20" s="406" t="n"/>
      <c r="I20" s="407" t="n"/>
      <c r="J20" s="408" t="n"/>
      <c r="K20" s="409" t="n"/>
      <c r="L20" s="391" t="n"/>
      <c r="M20" s="399" t="n"/>
      <c r="N20" s="410" t="n"/>
      <c r="O20" s="399" t="n"/>
      <c r="P20" s="411" t="n"/>
      <c r="Q20" s="399" t="n"/>
      <c r="R20" s="412" t="n"/>
      <c r="S20" s="399" t="n"/>
      <c r="T20" s="417" t="n"/>
      <c r="U20" s="391" t="n"/>
      <c r="V20" s="391" t="n"/>
      <c r="W20" s="399" t="n"/>
      <c r="X20" s="217" t="n"/>
      <c r="Y20" s="414">
        <f>G20-H20-I20</f>
        <v/>
      </c>
      <c r="Z20" s="414">
        <f>H20+I20</f>
        <v/>
      </c>
      <c r="AA20" s="414">
        <f>H20*N20</f>
        <v/>
      </c>
      <c r="AB20" s="123" t="n"/>
      <c r="AC20" s="123" t="n"/>
      <c r="AD20" s="123" t="n"/>
      <c r="AE20" s="123" t="n"/>
      <c r="AF20" s="123" t="n"/>
      <c r="AG20" s="123" t="n"/>
      <c r="AH20" s="123" t="n"/>
      <c r="AI20" s="123" t="n"/>
    </row>
    <row r="21" ht="24.95" customFormat="1" customHeight="1" s="3" thickTop="1">
      <c r="A21" s="217" t="n"/>
      <c r="B21" s="422" t="inlineStr">
        <is>
          <t>품  명</t>
        </is>
      </c>
      <c r="C21" s="423" t="inlineStr">
        <is>
          <t>계 약 내 역</t>
        </is>
      </c>
      <c r="D21" s="424" t="inlineStr">
        <is>
          <t>변경 내역(예상)</t>
        </is>
      </c>
      <c r="E21" s="425" t="n"/>
      <c r="F21" s="426" t="n"/>
      <c r="G21" s="427" t="inlineStr">
        <is>
          <t>실행금액</t>
        </is>
      </c>
      <c r="H21" s="427" t="inlineStr">
        <is>
          <t>기반입금액</t>
        </is>
      </c>
      <c r="I21" s="422" t="inlineStr">
        <is>
          <t>금회청구</t>
        </is>
      </c>
      <c r="J21" s="425" t="n"/>
      <c r="K21" s="425" t="n"/>
      <c r="L21" s="425" t="n"/>
      <c r="M21" s="426" t="n"/>
      <c r="N21" s="428" t="n"/>
      <c r="O21" s="426" t="n"/>
      <c r="P21" s="429" t="n"/>
      <c r="Q21" s="426" t="n"/>
      <c r="R21" s="430" t="n"/>
      <c r="S21" s="426" t="n"/>
      <c r="T21" s="431" t="n"/>
      <c r="U21" s="425" t="n"/>
      <c r="V21" s="425" t="n"/>
      <c r="W21" s="426" t="n"/>
      <c r="X21" s="217" t="n"/>
      <c r="Y21" s="432" t="n"/>
      <c r="Z21" s="432" t="n"/>
      <c r="AA21" s="432" t="n"/>
    </row>
    <row r="22" ht="11.1" customFormat="1" customHeight="1" s="3">
      <c r="A22" s="217" t="n"/>
      <c r="B22" s="433" t="n"/>
      <c r="C22" s="434" t="n"/>
      <c r="D22" s="434" t="n"/>
      <c r="E22" s="385" t="n"/>
      <c r="F22" s="392" t="n"/>
      <c r="G22" s="434" t="n"/>
      <c r="H22" s="434" t="n"/>
      <c r="I22" s="435" t="n"/>
      <c r="J22" s="435" t="n"/>
      <c r="K22" s="435" t="n"/>
      <c r="L22" s="436" t="n"/>
      <c r="M22" s="437" t="n"/>
      <c r="N22" s="410" t="n"/>
      <c r="O22" s="392" t="n"/>
      <c r="P22" s="411" t="n"/>
      <c r="Q22" s="392" t="n"/>
      <c r="R22" s="412" t="n"/>
      <c r="S22" s="392" t="n"/>
      <c r="T22" s="417" t="n"/>
      <c r="U22" s="385" t="n"/>
      <c r="V22" s="385" t="n"/>
      <c r="W22" s="392" t="n"/>
      <c r="X22" s="217" t="n"/>
      <c r="Y22" s="432" t="n"/>
      <c r="Z22" s="432" t="n"/>
      <c r="AA22" s="432" t="n"/>
    </row>
    <row r="23" ht="24.95" customFormat="1" customHeight="1" s="3">
      <c r="A23" s="217" t="n"/>
      <c r="B23" s="396" t="n"/>
      <c r="C23" s="396" t="n"/>
      <c r="D23" s="401" t="n"/>
      <c r="E23" s="382" t="n"/>
      <c r="F23" s="400" t="n"/>
      <c r="G23" s="396" t="n"/>
      <c r="H23" s="396" t="n"/>
      <c r="I23" s="438" t="n"/>
      <c r="J23" s="438" t="n"/>
      <c r="K23" s="439" t="n"/>
      <c r="L23" s="440" t="n"/>
      <c r="M23" s="441" t="n"/>
      <c r="N23" s="401" t="n"/>
      <c r="O23" s="400" t="n"/>
      <c r="P23" s="401" t="n"/>
      <c r="Q23" s="400" t="n"/>
      <c r="R23" s="401" t="n"/>
      <c r="S23" s="400" t="n"/>
      <c r="T23" s="401" t="n"/>
      <c r="U23" s="382" t="n"/>
      <c r="V23" s="382" t="n"/>
      <c r="W23" s="400" t="n"/>
      <c r="X23" s="217" t="n"/>
      <c r="Y23" s="432" t="n"/>
      <c r="Z23" s="432" t="n"/>
      <c r="AA23" s="432" t="n"/>
    </row>
    <row r="24" ht="11.1" customFormat="1" customHeight="1" s="3">
      <c r="A24" s="217" t="n"/>
      <c r="B24" s="433" t="n"/>
      <c r="C24" s="434" t="n"/>
      <c r="D24" s="434" t="n"/>
      <c r="E24" s="385" t="n"/>
      <c r="F24" s="392" t="n"/>
      <c r="G24" s="434" t="n"/>
      <c r="H24" s="434" t="n"/>
      <c r="I24" s="435" t="n"/>
      <c r="J24" s="442" t="n"/>
      <c r="K24" s="435" t="n"/>
      <c r="L24" s="436" t="n"/>
      <c r="M24" s="437" t="n"/>
      <c r="N24" s="410" t="n"/>
      <c r="O24" s="392" t="n"/>
      <c r="P24" s="411" t="n"/>
      <c r="Q24" s="392" t="n"/>
      <c r="R24" s="412" t="n"/>
      <c r="S24" s="392" t="n"/>
      <c r="T24" s="417" t="n"/>
      <c r="U24" s="385" t="n"/>
      <c r="V24" s="385" t="n"/>
      <c r="W24" s="392" t="n"/>
      <c r="X24" s="217" t="n"/>
      <c r="Y24" s="432" t="n"/>
      <c r="Z24" s="432" t="n"/>
      <c r="AA24" s="432" t="n"/>
    </row>
    <row r="25" ht="24.95" customFormat="1" customHeight="1" s="3">
      <c r="A25" s="217" t="n"/>
      <c r="B25" s="396" t="n"/>
      <c r="C25" s="396" t="n"/>
      <c r="D25" s="401" t="n"/>
      <c r="E25" s="382" t="n"/>
      <c r="F25" s="400" t="n"/>
      <c r="G25" s="396" t="n"/>
      <c r="H25" s="396" t="n"/>
      <c r="I25" s="438" t="n"/>
      <c r="J25" s="438" t="n"/>
      <c r="K25" s="439" t="n"/>
      <c r="L25" s="440" t="n"/>
      <c r="M25" s="441" t="n"/>
      <c r="N25" s="401" t="n"/>
      <c r="O25" s="400" t="n"/>
      <c r="P25" s="401" t="n"/>
      <c r="Q25" s="400" t="n"/>
      <c r="R25" s="401" t="n"/>
      <c r="S25" s="400" t="n"/>
      <c r="T25" s="401" t="n"/>
      <c r="U25" s="382" t="n"/>
      <c r="V25" s="382" t="n"/>
      <c r="W25" s="400" t="n"/>
      <c r="X25" s="217" t="n"/>
      <c r="Y25" s="432" t="n"/>
      <c r="Z25" s="432" t="n"/>
      <c r="AA25" s="432" t="n"/>
    </row>
    <row r="26" ht="11.1" customFormat="1" customHeight="1" s="3">
      <c r="A26" s="217" t="n"/>
      <c r="B26" s="433" t="n"/>
      <c r="C26" s="434" t="n"/>
      <c r="D26" s="434" t="n"/>
      <c r="E26" s="385" t="n"/>
      <c r="F26" s="392" t="n"/>
      <c r="G26" s="434" t="n"/>
      <c r="H26" s="434" t="n"/>
      <c r="I26" s="435" t="n"/>
      <c r="J26" s="442" t="n"/>
      <c r="K26" s="435" t="n"/>
      <c r="L26" s="436" t="n"/>
      <c r="M26" s="437" t="n"/>
      <c r="N26" s="410" t="n"/>
      <c r="O26" s="392" t="n"/>
      <c r="P26" s="411" t="n"/>
      <c r="Q26" s="392" t="n"/>
      <c r="R26" s="412" t="n"/>
      <c r="S26" s="392" t="n"/>
      <c r="T26" s="417" t="n"/>
      <c r="U26" s="385" t="n"/>
      <c r="V26" s="385" t="n"/>
      <c r="W26" s="392" t="n"/>
      <c r="X26" s="217" t="n"/>
      <c r="Y26" s="432" t="n"/>
      <c r="Z26" s="432" t="n"/>
      <c r="AA26" s="432" t="n"/>
    </row>
    <row r="27" ht="24.95" customFormat="1" customHeight="1" s="3">
      <c r="A27" s="217" t="n"/>
      <c r="B27" s="396" t="n"/>
      <c r="C27" s="396" t="n"/>
      <c r="D27" s="401" t="n"/>
      <c r="E27" s="382" t="n"/>
      <c r="F27" s="400" t="n"/>
      <c r="G27" s="396" t="n"/>
      <c r="H27" s="396" t="n"/>
      <c r="I27" s="438" t="n"/>
      <c r="J27" s="438" t="n"/>
      <c r="K27" s="439" t="n"/>
      <c r="L27" s="440" t="n"/>
      <c r="M27" s="441" t="n"/>
      <c r="N27" s="401" t="n"/>
      <c r="O27" s="400" t="n"/>
      <c r="P27" s="401" t="n"/>
      <c r="Q27" s="400" t="n"/>
      <c r="R27" s="401" t="n"/>
      <c r="S27" s="400" t="n"/>
      <c r="T27" s="401" t="n"/>
      <c r="U27" s="382" t="n"/>
      <c r="V27" s="382" t="n"/>
      <c r="W27" s="400" t="n"/>
      <c r="X27" s="217" t="n"/>
      <c r="Y27" s="432" t="n"/>
      <c r="Z27" s="432" t="n"/>
      <c r="AA27" s="432" t="n"/>
    </row>
    <row r="28" ht="11.1" customFormat="1" customHeight="1" s="3">
      <c r="A28" s="217" t="n"/>
      <c r="B28" s="443" t="n"/>
      <c r="C28" s="434" t="n"/>
      <c r="D28" s="434" t="n"/>
      <c r="E28" s="385" t="n"/>
      <c r="F28" s="392" t="n"/>
      <c r="G28" s="434" t="n"/>
      <c r="H28" s="434" t="n"/>
      <c r="I28" s="444" t="n"/>
      <c r="J28" s="444" t="n"/>
      <c r="K28" s="445" t="n"/>
      <c r="L28" s="446" t="n"/>
      <c r="M28" s="447" t="n"/>
      <c r="N28" s="448" t="n"/>
      <c r="O28" s="448" t="n"/>
      <c r="P28" s="449" t="n"/>
      <c r="Q28" s="450" t="n"/>
      <c r="R28" s="450" t="n"/>
      <c r="S28" s="12" t="n"/>
      <c r="T28" s="13" t="n"/>
      <c r="U28" s="13" t="n"/>
      <c r="V28" s="13" t="n"/>
      <c r="W28" s="14" t="n"/>
      <c r="X28" s="217" t="n"/>
      <c r="Y28" s="432" t="n"/>
      <c r="Z28" s="432" t="n"/>
      <c r="AA28" s="432" t="n"/>
    </row>
    <row r="29" ht="24.95" customFormat="1" customHeight="1" s="3">
      <c r="A29" s="217" t="n"/>
      <c r="B29" s="396" t="n"/>
      <c r="C29" s="396" t="n"/>
      <c r="D29" s="401" t="n"/>
      <c r="E29" s="382" t="n"/>
      <c r="F29" s="400" t="n"/>
      <c r="G29" s="396" t="n"/>
      <c r="H29" s="396" t="n"/>
      <c r="I29" s="438" t="n"/>
      <c r="J29" s="438" t="n"/>
      <c r="L29" s="292" t="n"/>
      <c r="M29" s="312" t="inlineStr">
        <is>
          <t>담  당</t>
        </is>
      </c>
      <c r="N29" s="399" t="n"/>
      <c r="O29" s="312" t="inlineStr">
        <is>
          <t>소  장</t>
        </is>
      </c>
      <c r="P29" s="399" t="n"/>
      <c r="Q29" s="196" t="n"/>
      <c r="R29" s="197" t="n"/>
      <c r="S29" s="292" t="n"/>
      <c r="T29" s="288" t="inlineStr">
        <is>
          <t>담  당</t>
        </is>
      </c>
      <c r="U29" s="288" t="inlineStr">
        <is>
          <t>팀 장</t>
        </is>
      </c>
      <c r="V29" s="288" t="inlineStr">
        <is>
          <t>임 원</t>
        </is>
      </c>
      <c r="W29" s="288" t="inlineStr">
        <is>
          <t>대 표</t>
        </is>
      </c>
      <c r="X29" s="217" t="n"/>
      <c r="Y29" s="432" t="n"/>
      <c r="Z29" s="432" t="n"/>
      <c r="AA29" s="432" t="n"/>
    </row>
    <row r="30" ht="14.1" customFormat="1" customHeight="1" s="3">
      <c r="A30" s="217" t="n"/>
      <c r="B30" s="451" t="inlineStr">
        <is>
          <t>위와 같이 구매 의뢰 합니다.</t>
        </is>
      </c>
      <c r="D30" s="452" t="n"/>
      <c r="E30" s="452" t="n"/>
      <c r="F30" s="452" t="n"/>
      <c r="G30" s="453" t="n"/>
      <c r="H30" s="454" t="n"/>
      <c r="I30" s="454" t="n"/>
      <c r="J30" s="454" t="n"/>
      <c r="L30" s="193" t="inlineStr">
        <is>
          <t>현</t>
        </is>
      </c>
      <c r="M30" s="314" t="n"/>
      <c r="N30" s="315" t="n"/>
      <c r="O30" s="314" t="n"/>
      <c r="P30" s="315" t="n"/>
      <c r="Q30" s="196" t="n"/>
      <c r="R30" s="197" t="n"/>
      <c r="S30" s="193" t="inlineStr">
        <is>
          <t>본</t>
        </is>
      </c>
      <c r="T30" s="315" t="n"/>
      <c r="U30" s="315" t="n"/>
      <c r="V30" s="315" t="n"/>
      <c r="W30" s="155" t="n"/>
      <c r="X30" s="217" t="n"/>
      <c r="Y30" s="432" t="n"/>
      <c r="Z30" s="432" t="n"/>
      <c r="AA30" s="432" t="n"/>
    </row>
    <row r="31" ht="14.1" customFormat="1" customHeight="1" s="3">
      <c r="A31" s="217" t="n"/>
      <c r="B31" s="455" t="n"/>
      <c r="C31" s="452" t="n"/>
      <c r="D31" s="452" t="n"/>
      <c r="E31" s="452" t="n"/>
      <c r="F31" s="452" t="n"/>
      <c r="G31" s="453" t="n"/>
      <c r="H31" s="454" t="n"/>
      <c r="I31" s="454" t="n"/>
      <c r="J31" s="454" t="n"/>
      <c r="L31" s="193" t="n"/>
      <c r="M31" s="155" t="n"/>
      <c r="N31" s="456" t="n"/>
      <c r="O31" s="155" t="n"/>
      <c r="P31" s="456" t="n"/>
      <c r="Q31" s="196" t="n"/>
      <c r="R31" s="197" t="n"/>
      <c r="S31" s="193" t="n"/>
      <c r="T31" s="315" t="n"/>
      <c r="U31" s="315" t="n"/>
      <c r="V31" s="315" t="n"/>
      <c r="W31" s="155" t="n"/>
      <c r="X31" s="217" t="n"/>
      <c r="Y31" s="432" t="n"/>
      <c r="Z31" s="432" t="n"/>
      <c r="AA31" s="432" t="n"/>
    </row>
    <row r="32" ht="18" customFormat="1" customHeight="1" s="3">
      <c r="A32" s="217" t="n"/>
      <c r="B32" s="457">
        <f>+$O$4</f>
        <v/>
      </c>
      <c r="C32" s="452" t="n"/>
      <c r="D32" s="452" t="n"/>
      <c r="E32" s="452" t="n"/>
      <c r="F32" s="452" t="n"/>
      <c r="G32" s="453" t="n"/>
      <c r="H32" s="458" t="n"/>
      <c r="I32" s="459">
        <f>SUM(P6:Q188)</f>
        <v/>
      </c>
      <c r="J32" s="459" t="n"/>
      <c r="L32" s="193" t="inlineStr">
        <is>
          <t>장</t>
        </is>
      </c>
      <c r="M32" s="460" t="n"/>
      <c r="N32" s="456" t="n"/>
      <c r="O32" s="460" t="n"/>
      <c r="P32" s="456" t="n"/>
      <c r="Q32" s="196" t="n"/>
      <c r="R32" s="197" t="n"/>
      <c r="S32" s="193" t="inlineStr">
        <is>
          <t>사</t>
        </is>
      </c>
      <c r="T32" s="315" t="n"/>
      <c r="U32" s="315" t="n"/>
      <c r="V32" s="315" t="n"/>
      <c r="W32" s="155" t="n"/>
      <c r="X32" s="217" t="n"/>
      <c r="Y32" s="432" t="n"/>
      <c r="Z32" s="432" t="n"/>
      <c r="AA32" s="432" t="n"/>
    </row>
    <row r="33" ht="9.949999999999999" customFormat="1" customHeight="1" s="3">
      <c r="A33" s="217" t="n"/>
      <c r="B33" s="458" t="n"/>
      <c r="C33" s="452" t="n"/>
      <c r="D33" s="452" t="n"/>
      <c r="E33" s="452" t="n"/>
      <c r="F33" s="452" t="n"/>
      <c r="G33" s="453" t="n"/>
      <c r="H33" s="458" t="n"/>
      <c r="I33" s="458" t="n"/>
      <c r="J33" s="458" t="n"/>
      <c r="L33" s="293" t="n"/>
      <c r="M33" s="156" t="n"/>
      <c r="N33" s="157" t="n"/>
      <c r="O33" s="156" t="n"/>
      <c r="P33" s="157" t="n"/>
      <c r="Q33" s="196" t="n"/>
      <c r="R33" s="197" t="n"/>
      <c r="S33" s="293" t="n"/>
      <c r="T33" s="157" t="n"/>
      <c r="U33" s="157" t="n"/>
      <c r="V33" s="157" t="n"/>
      <c r="W33" s="158" t="n"/>
      <c r="X33" s="217" t="n"/>
      <c r="Y33" s="432" t="n"/>
      <c r="Z33" s="432" t="n"/>
      <c r="AA33" s="432" t="n"/>
    </row>
    <row r="34" ht="6" customFormat="1" customHeight="1" s="3">
      <c r="A34" s="217" t="n"/>
      <c r="B34" s="461" t="n"/>
      <c r="C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207" t="n"/>
      <c r="X34" s="217" t="n"/>
      <c r="Y34" s="432" t="n"/>
      <c r="Z34" s="432" t="n"/>
      <c r="AA34" s="432" t="n"/>
    </row>
    <row r="35" ht="27" customFormat="1" customHeight="1" s="3">
      <c r="A35" s="217" t="n"/>
      <c r="B35" s="418" t="n"/>
      <c r="C35" s="419" t="n"/>
      <c r="D35" s="113" t="n"/>
      <c r="E35" s="462" t="n"/>
      <c r="F35" s="463" t="n"/>
      <c r="G35" s="420" t="n"/>
      <c r="H35" s="406" t="n"/>
      <c r="I35" s="407" t="n"/>
      <c r="J35" s="408" t="n"/>
      <c r="K35" s="409" t="n"/>
      <c r="L35" s="391" t="n"/>
      <c r="M35" s="399" t="n"/>
      <c r="N35" s="410" t="n"/>
      <c r="O35" s="399" t="n"/>
      <c r="P35" s="411" t="n"/>
      <c r="Q35" s="399" t="n"/>
      <c r="R35" s="412" t="n"/>
      <c r="S35" s="399" t="n"/>
      <c r="T35" s="417" t="n"/>
      <c r="U35" s="391" t="n"/>
      <c r="V35" s="391" t="n"/>
      <c r="W35" s="399" t="n"/>
      <c r="X35" s="217" t="n"/>
      <c r="Y35" s="414">
        <f>G35-H35-I35</f>
        <v/>
      </c>
      <c r="Z35" s="414">
        <f>H35+I35</f>
        <v/>
      </c>
      <c r="AA35" s="414">
        <f>H35*N35</f>
        <v/>
      </c>
      <c r="AB35" s="123" t="n"/>
      <c r="AC35" s="123" t="n"/>
      <c r="AD35" s="123" t="n"/>
      <c r="AE35" s="123" t="n"/>
      <c r="AF35" s="123" t="n"/>
      <c r="AG35" s="123" t="n"/>
      <c r="AH35" s="123" t="n"/>
      <c r="AI35" s="123" t="n"/>
    </row>
    <row r="36" ht="27" customFormat="1" customHeight="1" s="3">
      <c r="A36" s="217" t="n"/>
      <c r="B36" s="418" t="n"/>
      <c r="C36" s="419" t="n"/>
      <c r="D36" s="113" t="n"/>
      <c r="E36" s="403" t="n"/>
      <c r="F36" s="404" t="n"/>
      <c r="G36" s="420" t="n"/>
      <c r="H36" s="406" t="n"/>
      <c r="I36" s="407" t="n"/>
      <c r="J36" s="408" t="n"/>
      <c r="K36" s="409" t="n"/>
      <c r="L36" s="391" t="n"/>
      <c r="M36" s="399" t="n"/>
      <c r="N36" s="410" t="n"/>
      <c r="O36" s="399" t="n"/>
      <c r="P36" s="411" t="n"/>
      <c r="Q36" s="399" t="n"/>
      <c r="R36" s="412" t="n"/>
      <c r="S36" s="399" t="n"/>
      <c r="T36" s="417" t="n"/>
      <c r="U36" s="391" t="n"/>
      <c r="V36" s="391" t="n"/>
      <c r="W36" s="399" t="n"/>
      <c r="X36" s="217" t="n"/>
      <c r="Y36" s="414">
        <f>G36-H36-I36</f>
        <v/>
      </c>
      <c r="Z36" s="414">
        <f>H36+I36</f>
        <v/>
      </c>
      <c r="AA36" s="414">
        <f>H36*N36</f>
        <v/>
      </c>
      <c r="AB36" s="123" t="n"/>
      <c r="AC36" s="123" t="n"/>
      <c r="AD36" s="123" t="n"/>
      <c r="AE36" s="123" t="n"/>
      <c r="AF36" s="123" t="n"/>
      <c r="AG36" s="123" t="n"/>
      <c r="AH36" s="123" t="n"/>
      <c r="AI36" s="123" t="n"/>
    </row>
    <row r="37" ht="27" customFormat="1" customHeight="1" s="3">
      <c r="A37" s="217" t="n"/>
      <c r="B37" s="418" t="n"/>
      <c r="C37" s="419" t="n"/>
      <c r="D37" s="113" t="n"/>
      <c r="E37" s="403" t="n"/>
      <c r="F37" s="404" t="n"/>
      <c r="G37" s="420" t="n"/>
      <c r="H37" s="406" t="n"/>
      <c r="I37" s="407" t="n"/>
      <c r="J37" s="408" t="n"/>
      <c r="K37" s="409" t="n"/>
      <c r="L37" s="391" t="n"/>
      <c r="M37" s="399" t="n"/>
      <c r="N37" s="410" t="n"/>
      <c r="O37" s="399" t="n"/>
      <c r="P37" s="411" t="n"/>
      <c r="Q37" s="399" t="n"/>
      <c r="R37" s="412" t="n"/>
      <c r="S37" s="399" t="n"/>
      <c r="T37" s="417" t="n"/>
      <c r="U37" s="391" t="n"/>
      <c r="V37" s="391" t="n"/>
      <c r="W37" s="399" t="n"/>
      <c r="X37" s="217" t="n"/>
      <c r="Y37" s="414">
        <f>G37-H37-I37</f>
        <v/>
      </c>
      <c r="Z37" s="414">
        <f>H37+I37</f>
        <v/>
      </c>
      <c r="AA37" s="414">
        <f>H37*N37</f>
        <v/>
      </c>
      <c r="AB37" s="123" t="n"/>
      <c r="AC37" s="123" t="n"/>
      <c r="AD37" s="123" t="n"/>
      <c r="AE37" s="123" t="n"/>
      <c r="AF37" s="123" t="n"/>
      <c r="AG37" s="123" t="n"/>
      <c r="AH37" s="123" t="n"/>
      <c r="AI37" s="123" t="n"/>
    </row>
    <row r="38" ht="27" customFormat="1" customHeight="1" s="3">
      <c r="A38" s="217" t="n"/>
      <c r="B38" s="418" t="n"/>
      <c r="C38" s="419" t="n"/>
      <c r="D38" s="113" t="n"/>
      <c r="E38" s="403" t="n"/>
      <c r="F38" s="404" t="n"/>
      <c r="G38" s="420" t="n"/>
      <c r="H38" s="406" t="n"/>
      <c r="I38" s="407" t="n"/>
      <c r="J38" s="408" t="n"/>
      <c r="K38" s="409" t="n"/>
      <c r="L38" s="391" t="n"/>
      <c r="M38" s="399" t="n"/>
      <c r="N38" s="410" t="n"/>
      <c r="O38" s="399" t="n"/>
      <c r="P38" s="411" t="n"/>
      <c r="Q38" s="399" t="n"/>
      <c r="R38" s="412" t="n"/>
      <c r="S38" s="399" t="n"/>
      <c r="T38" s="417" t="n"/>
      <c r="U38" s="391" t="n"/>
      <c r="V38" s="391" t="n"/>
      <c r="W38" s="399" t="n"/>
      <c r="X38" s="217" t="n"/>
      <c r="Y38" s="414">
        <f>G38-H38-I38</f>
        <v/>
      </c>
      <c r="Z38" s="414">
        <f>H38+I38</f>
        <v/>
      </c>
      <c r="AA38" s="414">
        <f>H38*N38</f>
        <v/>
      </c>
      <c r="AB38" s="123" t="n"/>
      <c r="AC38" s="123" t="n"/>
      <c r="AD38" s="123" t="n"/>
      <c r="AE38" s="123" t="n"/>
      <c r="AF38" s="123" t="n"/>
      <c r="AG38" s="123" t="n"/>
      <c r="AH38" s="123" t="n"/>
      <c r="AI38" s="123" t="n"/>
    </row>
    <row r="39" ht="27" customFormat="1" customHeight="1" s="3">
      <c r="A39" s="217" t="n"/>
      <c r="B39" s="418" t="n"/>
      <c r="C39" s="419" t="n"/>
      <c r="D39" s="113" t="n"/>
      <c r="E39" s="403" t="n"/>
      <c r="F39" s="404" t="n"/>
      <c r="G39" s="420" t="n"/>
      <c r="H39" s="406" t="n"/>
      <c r="I39" s="407" t="n"/>
      <c r="J39" s="408" t="n"/>
      <c r="K39" s="409" t="n"/>
      <c r="L39" s="391" t="n"/>
      <c r="M39" s="399" t="n"/>
      <c r="N39" s="410" t="n"/>
      <c r="O39" s="399" t="n"/>
      <c r="P39" s="411" t="n"/>
      <c r="Q39" s="399" t="n"/>
      <c r="R39" s="412" t="n"/>
      <c r="S39" s="399" t="n"/>
      <c r="T39" s="417" t="n"/>
      <c r="U39" s="391" t="n"/>
      <c r="V39" s="391" t="n"/>
      <c r="W39" s="399" t="n"/>
      <c r="X39" s="217" t="n"/>
      <c r="Y39" s="414">
        <f>G39-H39-I39</f>
        <v/>
      </c>
      <c r="Z39" s="414">
        <f>H39+I39</f>
        <v/>
      </c>
      <c r="AA39" s="414">
        <f>H39*N39</f>
        <v/>
      </c>
      <c r="AB39" s="123" t="n"/>
      <c r="AC39" s="123" t="n"/>
      <c r="AD39" s="123" t="n"/>
      <c r="AE39" s="123" t="n"/>
      <c r="AF39" s="123" t="n"/>
      <c r="AG39" s="123" t="n"/>
      <c r="AH39" s="123" t="n"/>
      <c r="AI39" s="123" t="n"/>
    </row>
    <row r="40" ht="27" customFormat="1" customHeight="1" s="3">
      <c r="A40" s="217" t="n"/>
      <c r="B40" s="418" t="n"/>
      <c r="C40" s="419" t="n"/>
      <c r="D40" s="113" t="n"/>
      <c r="E40" s="403" t="n"/>
      <c r="F40" s="404" t="n"/>
      <c r="G40" s="420" t="n"/>
      <c r="H40" s="406" t="n"/>
      <c r="I40" s="407" t="n"/>
      <c r="J40" s="408" t="n"/>
      <c r="K40" s="409" t="n"/>
      <c r="L40" s="391" t="n"/>
      <c r="M40" s="399" t="n"/>
      <c r="N40" s="410" t="n"/>
      <c r="O40" s="399" t="n"/>
      <c r="P40" s="411" t="n"/>
      <c r="Q40" s="399" t="n"/>
      <c r="R40" s="412" t="n"/>
      <c r="S40" s="399" t="n"/>
      <c r="T40" s="417" t="n"/>
      <c r="U40" s="391" t="n"/>
      <c r="V40" s="391" t="n"/>
      <c r="W40" s="399" t="n"/>
      <c r="X40" s="217" t="n"/>
      <c r="Y40" s="414">
        <f>G40-H40-I40</f>
        <v/>
      </c>
      <c r="Z40" s="414">
        <f>H40+I40</f>
        <v/>
      </c>
      <c r="AA40" s="414">
        <f>H40*N40</f>
        <v/>
      </c>
      <c r="AB40" s="123" t="n"/>
      <c r="AC40" s="123" t="n"/>
      <c r="AD40" s="123" t="n"/>
      <c r="AE40" s="123" t="n"/>
      <c r="AF40" s="123" t="n"/>
      <c r="AG40" s="123" t="n"/>
      <c r="AH40" s="123" t="n"/>
      <c r="AI40" s="123" t="n"/>
    </row>
    <row r="41" ht="27" customFormat="1" customHeight="1" s="3">
      <c r="A41" s="217" t="n"/>
      <c r="B41" s="418" t="n"/>
      <c r="C41" s="419" t="n"/>
      <c r="D41" s="113" t="n"/>
      <c r="E41" s="403" t="n"/>
      <c r="F41" s="404" t="n"/>
      <c r="G41" s="420" t="n"/>
      <c r="H41" s="406" t="n"/>
      <c r="I41" s="407" t="n"/>
      <c r="J41" s="408" t="n"/>
      <c r="K41" s="409" t="n"/>
      <c r="L41" s="391" t="n"/>
      <c r="M41" s="399" t="n"/>
      <c r="N41" s="410" t="n"/>
      <c r="O41" s="399" t="n"/>
      <c r="P41" s="411" t="n"/>
      <c r="Q41" s="399" t="n"/>
      <c r="R41" s="412" t="n"/>
      <c r="S41" s="399" t="n"/>
      <c r="T41" s="417" t="n"/>
      <c r="U41" s="391" t="n"/>
      <c r="V41" s="391" t="n"/>
      <c r="W41" s="399" t="n"/>
      <c r="X41" s="217" t="n"/>
      <c r="Y41" s="414">
        <f>G41-H41-I41</f>
        <v/>
      </c>
      <c r="Z41" s="414">
        <f>H41+I41</f>
        <v/>
      </c>
      <c r="AA41" s="414">
        <f>H41*N41</f>
        <v/>
      </c>
      <c r="AB41" s="123" t="n"/>
      <c r="AC41" s="123" t="n"/>
      <c r="AD41" s="123" t="n"/>
      <c r="AE41" s="123" t="n"/>
      <c r="AF41" s="123" t="n"/>
      <c r="AG41" s="123" t="n"/>
      <c r="AH41" s="123" t="n"/>
      <c r="AI41" s="123" t="n"/>
    </row>
    <row r="42" ht="27" customFormat="1" customHeight="1" s="3">
      <c r="A42" s="217" t="n"/>
      <c r="B42" s="418" t="n"/>
      <c r="C42" s="419" t="n"/>
      <c r="D42" s="113" t="n"/>
      <c r="E42" s="403" t="n"/>
      <c r="F42" s="404" t="n"/>
      <c r="G42" s="420" t="n"/>
      <c r="H42" s="406" t="n"/>
      <c r="I42" s="407" t="n"/>
      <c r="J42" s="408" t="n"/>
      <c r="K42" s="409" t="n"/>
      <c r="L42" s="391" t="n"/>
      <c r="M42" s="399" t="n"/>
      <c r="N42" s="410" t="n"/>
      <c r="O42" s="399" t="n"/>
      <c r="P42" s="411" t="n"/>
      <c r="Q42" s="399" t="n"/>
      <c r="R42" s="412" t="n"/>
      <c r="S42" s="399" t="n"/>
      <c r="T42" s="417" t="n"/>
      <c r="U42" s="391" t="n"/>
      <c r="V42" s="391" t="n"/>
      <c r="W42" s="399" t="n"/>
      <c r="X42" s="217" t="n"/>
      <c r="Y42" s="414">
        <f>G42-H42-I42</f>
        <v/>
      </c>
      <c r="Z42" s="414">
        <f>H42+I42</f>
        <v/>
      </c>
      <c r="AA42" s="414">
        <f>H42*N42</f>
        <v/>
      </c>
      <c r="AB42" s="123" t="n"/>
      <c r="AC42" s="123" t="n"/>
      <c r="AD42" s="123" t="n"/>
      <c r="AE42" s="123" t="n"/>
      <c r="AF42" s="123" t="n"/>
      <c r="AG42" s="123" t="n"/>
      <c r="AH42" s="123" t="n"/>
      <c r="AI42" s="123" t="n"/>
    </row>
    <row r="43" ht="27" customFormat="1" customHeight="1" s="3">
      <c r="A43" s="217" t="n"/>
      <c r="B43" s="418" t="n"/>
      <c r="C43" s="419" t="n"/>
      <c r="D43" s="113" t="n"/>
      <c r="E43" s="403" t="n"/>
      <c r="F43" s="404" t="n"/>
      <c r="G43" s="420" t="n"/>
      <c r="H43" s="406" t="n"/>
      <c r="I43" s="407" t="n"/>
      <c r="J43" s="408" t="n"/>
      <c r="K43" s="409" t="n"/>
      <c r="L43" s="391" t="n"/>
      <c r="M43" s="399" t="n"/>
      <c r="N43" s="410" t="n"/>
      <c r="O43" s="399" t="n"/>
      <c r="P43" s="411" t="n"/>
      <c r="Q43" s="399" t="n"/>
      <c r="R43" s="412" t="n"/>
      <c r="S43" s="399" t="n"/>
      <c r="T43" s="417" t="n"/>
      <c r="U43" s="391" t="n"/>
      <c r="V43" s="391" t="n"/>
      <c r="W43" s="399" t="n"/>
      <c r="X43" s="217" t="n"/>
      <c r="Y43" s="414">
        <f>G43-H43-I43</f>
        <v/>
      </c>
      <c r="Z43" s="414">
        <f>H43+I43</f>
        <v/>
      </c>
      <c r="AA43" s="414">
        <f>H43*N43</f>
        <v/>
      </c>
      <c r="AB43" s="123" t="n"/>
      <c r="AC43" s="123" t="n"/>
      <c r="AD43" s="123" t="n"/>
      <c r="AE43" s="123" t="n"/>
      <c r="AF43" s="123" t="n"/>
      <c r="AG43" s="123" t="n"/>
      <c r="AH43" s="123" t="n"/>
      <c r="AI43" s="123" t="n"/>
    </row>
    <row r="44" ht="27" customFormat="1" customHeight="1" s="3">
      <c r="A44" s="217" t="n"/>
      <c r="B44" s="418" t="n"/>
      <c r="C44" s="419" t="n"/>
      <c r="D44" s="113" t="n"/>
      <c r="E44" s="403" t="n"/>
      <c r="F44" s="404" t="n"/>
      <c r="G44" s="420" t="n"/>
      <c r="H44" s="406" t="n"/>
      <c r="I44" s="407" t="n"/>
      <c r="J44" s="408" t="n"/>
      <c r="K44" s="409" t="n"/>
      <c r="L44" s="391" t="n"/>
      <c r="M44" s="399" t="n"/>
      <c r="N44" s="410" t="n"/>
      <c r="O44" s="399" t="n"/>
      <c r="P44" s="411" t="n"/>
      <c r="Q44" s="399" t="n"/>
      <c r="R44" s="412" t="n"/>
      <c r="S44" s="399" t="n"/>
      <c r="T44" s="417" t="n"/>
      <c r="U44" s="391" t="n"/>
      <c r="V44" s="391" t="n"/>
      <c r="W44" s="399" t="n"/>
      <c r="X44" s="217" t="n"/>
      <c r="Y44" s="414">
        <f>G44-H44-I44</f>
        <v/>
      </c>
      <c r="Z44" s="414">
        <f>H44+I44</f>
        <v/>
      </c>
      <c r="AA44" s="414">
        <f>H44*N44</f>
        <v/>
      </c>
      <c r="AB44" s="123" t="n"/>
      <c r="AC44" s="123" t="n"/>
      <c r="AD44" s="123" t="n"/>
      <c r="AE44" s="123" t="n"/>
      <c r="AF44" s="123" t="n"/>
      <c r="AG44" s="123" t="n"/>
      <c r="AH44" s="123" t="n"/>
      <c r="AI44" s="123" t="n"/>
    </row>
    <row r="45" ht="27" customFormat="1" customHeight="1" s="3">
      <c r="A45" s="217" t="n"/>
      <c r="B45" s="418" t="n"/>
      <c r="C45" s="419" t="n"/>
      <c r="D45" s="113" t="n"/>
      <c r="E45" s="403" t="n"/>
      <c r="F45" s="404" t="n"/>
      <c r="G45" s="420" t="n"/>
      <c r="H45" s="406" t="n"/>
      <c r="I45" s="407" t="n"/>
      <c r="J45" s="408" t="n"/>
      <c r="K45" s="409" t="n"/>
      <c r="L45" s="391" t="n"/>
      <c r="M45" s="399" t="n"/>
      <c r="N45" s="410" t="n"/>
      <c r="O45" s="399" t="n"/>
      <c r="P45" s="411" t="n"/>
      <c r="Q45" s="399" t="n"/>
      <c r="R45" s="412" t="n"/>
      <c r="S45" s="399" t="n"/>
      <c r="T45" s="417" t="n"/>
      <c r="U45" s="391" t="n"/>
      <c r="V45" s="391" t="n"/>
      <c r="W45" s="399" t="n"/>
      <c r="X45" s="217" t="n"/>
      <c r="Y45" s="414">
        <f>G45-H45-I45</f>
        <v/>
      </c>
      <c r="Z45" s="414">
        <f>H45+I45</f>
        <v/>
      </c>
      <c r="AA45" s="414">
        <f>H45*N45</f>
        <v/>
      </c>
      <c r="AB45" s="123" t="n"/>
      <c r="AC45" s="123" t="n"/>
      <c r="AD45" s="123" t="n"/>
      <c r="AE45" s="123" t="n"/>
      <c r="AF45" s="123" t="n"/>
      <c r="AG45" s="123" t="n"/>
      <c r="AH45" s="123" t="n"/>
      <c r="AI45" s="123" t="n"/>
    </row>
    <row r="46" ht="27" customFormat="1" customHeight="1" s="3">
      <c r="A46" s="217" t="n"/>
      <c r="B46" s="418" t="n"/>
      <c r="C46" s="419" t="n"/>
      <c r="D46" s="113" t="n"/>
      <c r="E46" s="403" t="n"/>
      <c r="F46" s="404" t="n"/>
      <c r="G46" s="420" t="n"/>
      <c r="H46" s="406" t="n"/>
      <c r="I46" s="407" t="n"/>
      <c r="J46" s="408" t="n"/>
      <c r="K46" s="409" t="n"/>
      <c r="L46" s="391" t="n"/>
      <c r="M46" s="399" t="n"/>
      <c r="N46" s="410" t="n"/>
      <c r="O46" s="399" t="n"/>
      <c r="P46" s="411" t="n"/>
      <c r="Q46" s="399" t="n"/>
      <c r="R46" s="412" t="n"/>
      <c r="S46" s="399" t="n"/>
      <c r="T46" s="417" t="n"/>
      <c r="U46" s="391" t="n"/>
      <c r="V46" s="391" t="n"/>
      <c r="W46" s="399" t="n"/>
      <c r="X46" s="217" t="n"/>
      <c r="Y46" s="414">
        <f>G46-H46-I46</f>
        <v/>
      </c>
      <c r="Z46" s="414">
        <f>H46+I46</f>
        <v/>
      </c>
      <c r="AA46" s="414">
        <f>H46*N46</f>
        <v/>
      </c>
      <c r="AB46" s="123" t="n"/>
      <c r="AC46" s="123" t="n"/>
      <c r="AD46" s="123" t="n"/>
      <c r="AE46" s="123" t="n"/>
      <c r="AF46" s="123" t="n"/>
      <c r="AG46" s="123" t="n"/>
      <c r="AH46" s="123" t="n"/>
      <c r="AI46" s="123" t="n"/>
    </row>
    <row r="47" ht="27" customFormat="1" customHeight="1" s="3">
      <c r="A47" s="217" t="n"/>
      <c r="B47" s="418" t="n"/>
      <c r="C47" s="419" t="n"/>
      <c r="D47" s="113" t="n"/>
      <c r="E47" s="403" t="n"/>
      <c r="F47" s="404" t="n"/>
      <c r="G47" s="420" t="n"/>
      <c r="H47" s="406" t="n"/>
      <c r="I47" s="407" t="n"/>
      <c r="J47" s="408" t="n"/>
      <c r="K47" s="409" t="n"/>
      <c r="L47" s="391" t="n"/>
      <c r="M47" s="399" t="n"/>
      <c r="N47" s="410" t="n"/>
      <c r="O47" s="399" t="n"/>
      <c r="P47" s="411" t="n"/>
      <c r="Q47" s="399" t="n"/>
      <c r="R47" s="412" t="n"/>
      <c r="S47" s="399" t="n"/>
      <c r="T47" s="417" t="n"/>
      <c r="U47" s="391" t="n"/>
      <c r="V47" s="391" t="n"/>
      <c r="W47" s="399" t="n"/>
      <c r="X47" s="217" t="n"/>
      <c r="Y47" s="414">
        <f>G47-H47-I47</f>
        <v/>
      </c>
      <c r="Z47" s="414">
        <f>H47+I47</f>
        <v/>
      </c>
      <c r="AA47" s="414">
        <f>H47*N47</f>
        <v/>
      </c>
      <c r="AB47" s="123" t="n"/>
      <c r="AC47" s="123" t="n"/>
      <c r="AD47" s="123" t="n"/>
      <c r="AE47" s="123" t="n"/>
      <c r="AF47" s="123" t="n"/>
      <c r="AG47" s="123" t="n"/>
      <c r="AH47" s="123" t="n"/>
      <c r="AI47" s="123" t="n"/>
    </row>
    <row r="48" ht="27" customFormat="1" customHeight="1" s="3">
      <c r="A48" s="217" t="n"/>
      <c r="B48" s="418" t="n"/>
      <c r="C48" s="419" t="n"/>
      <c r="D48" s="113" t="n"/>
      <c r="E48" s="403" t="n"/>
      <c r="F48" s="404" t="n"/>
      <c r="G48" s="420" t="n"/>
      <c r="H48" s="406" t="n"/>
      <c r="I48" s="407" t="n"/>
      <c r="J48" s="408" t="n"/>
      <c r="K48" s="409" t="n"/>
      <c r="L48" s="391" t="n"/>
      <c r="M48" s="399" t="n"/>
      <c r="N48" s="410" t="n"/>
      <c r="O48" s="399" t="n"/>
      <c r="P48" s="411" t="n"/>
      <c r="Q48" s="399" t="n"/>
      <c r="R48" s="412" t="n"/>
      <c r="S48" s="399" t="n"/>
      <c r="T48" s="417" t="n"/>
      <c r="U48" s="391" t="n"/>
      <c r="V48" s="391" t="n"/>
      <c r="W48" s="399" t="n"/>
      <c r="X48" s="217" t="n"/>
      <c r="Y48" s="414">
        <f>G48-H48-I48</f>
        <v/>
      </c>
      <c r="Z48" s="414">
        <f>H48+I48</f>
        <v/>
      </c>
      <c r="AA48" s="414">
        <f>H48*N48</f>
        <v/>
      </c>
      <c r="AB48" s="123" t="n"/>
      <c r="AC48" s="123" t="n"/>
      <c r="AD48" s="123" t="n"/>
      <c r="AE48" s="123" t="n"/>
      <c r="AF48" s="123" t="n"/>
      <c r="AG48" s="123" t="n"/>
      <c r="AH48" s="123" t="n"/>
      <c r="AI48" s="123" t="n"/>
    </row>
    <row r="49" ht="27" customFormat="1" customHeight="1" s="3">
      <c r="A49" s="217" t="n"/>
      <c r="B49" s="418" t="n"/>
      <c r="C49" s="419" t="n"/>
      <c r="D49" s="113" t="n"/>
      <c r="E49" s="403" t="n"/>
      <c r="F49" s="404" t="n"/>
      <c r="G49" s="420" t="n"/>
      <c r="H49" s="406" t="n"/>
      <c r="I49" s="407" t="n"/>
      <c r="J49" s="408" t="n"/>
      <c r="K49" s="409" t="n"/>
      <c r="L49" s="391" t="n"/>
      <c r="M49" s="399" t="n"/>
      <c r="N49" s="410" t="n"/>
      <c r="O49" s="399" t="n"/>
      <c r="P49" s="411" t="n"/>
      <c r="Q49" s="399" t="n"/>
      <c r="R49" s="412" t="n"/>
      <c r="S49" s="399" t="n"/>
      <c r="T49" s="417" t="n"/>
      <c r="U49" s="391" t="n"/>
      <c r="V49" s="391" t="n"/>
      <c r="W49" s="399" t="n"/>
      <c r="X49" s="217" t="n"/>
      <c r="Y49" s="414">
        <f>G49-H49-I49</f>
        <v/>
      </c>
      <c r="Z49" s="414">
        <f>H49+I49</f>
        <v/>
      </c>
      <c r="AA49" s="414">
        <f>H49*N49</f>
        <v/>
      </c>
      <c r="AB49" s="123" t="n"/>
      <c r="AC49" s="123" t="n"/>
      <c r="AD49" s="123" t="n"/>
      <c r="AE49" s="123" t="n"/>
      <c r="AF49" s="123" t="n"/>
      <c r="AG49" s="123" t="n"/>
      <c r="AH49" s="123" t="n"/>
      <c r="AI49" s="123" t="n"/>
    </row>
    <row r="50" ht="27" customFormat="1" customHeight="1" s="3">
      <c r="A50" s="217" t="n"/>
      <c r="B50" s="418" t="n"/>
      <c r="C50" s="419" t="n"/>
      <c r="D50" s="113" t="n"/>
      <c r="E50" s="403" t="n"/>
      <c r="F50" s="404" t="n"/>
      <c r="G50" s="420" t="n"/>
      <c r="H50" s="406" t="n"/>
      <c r="I50" s="407" t="n"/>
      <c r="J50" s="408" t="n"/>
      <c r="K50" s="409" t="n"/>
      <c r="L50" s="391" t="n"/>
      <c r="M50" s="399" t="n"/>
      <c r="N50" s="410" t="n"/>
      <c r="O50" s="399" t="n"/>
      <c r="P50" s="411" t="n"/>
      <c r="Q50" s="399" t="n"/>
      <c r="R50" s="412" t="n"/>
      <c r="S50" s="399" t="n"/>
      <c r="T50" s="417" t="n"/>
      <c r="U50" s="391" t="n"/>
      <c r="V50" s="391" t="n"/>
      <c r="W50" s="399" t="n"/>
      <c r="X50" s="217" t="n"/>
      <c r="Y50" s="414">
        <f>G50-H50-I50</f>
        <v/>
      </c>
      <c r="Z50" s="414">
        <f>H50+I50</f>
        <v/>
      </c>
      <c r="AA50" s="414">
        <f>H50*N50</f>
        <v/>
      </c>
      <c r="AB50" s="123" t="n"/>
      <c r="AC50" s="123" t="n"/>
      <c r="AD50" s="123" t="n"/>
      <c r="AE50" s="123" t="n"/>
      <c r="AF50" s="123" t="n"/>
      <c r="AG50" s="123" t="n"/>
      <c r="AH50" s="123" t="n"/>
      <c r="AI50" s="123" t="n"/>
    </row>
    <row r="51" ht="27" customFormat="1" customHeight="1" s="3">
      <c r="A51" s="217" t="n"/>
      <c r="B51" s="418" t="n"/>
      <c r="C51" s="419" t="n"/>
      <c r="D51" s="113" t="n"/>
      <c r="E51" s="403" t="n"/>
      <c r="F51" s="404" t="n"/>
      <c r="G51" s="420" t="n"/>
      <c r="H51" s="406" t="n"/>
      <c r="I51" s="407" t="n"/>
      <c r="J51" s="408" t="n"/>
      <c r="K51" s="409" t="n"/>
      <c r="L51" s="391" t="n"/>
      <c r="M51" s="399" t="n"/>
      <c r="N51" s="410" t="n"/>
      <c r="O51" s="399" t="n"/>
      <c r="P51" s="411" t="n"/>
      <c r="Q51" s="399" t="n"/>
      <c r="R51" s="412" t="n"/>
      <c r="S51" s="399" t="n"/>
      <c r="T51" s="417" t="n"/>
      <c r="U51" s="391" t="n"/>
      <c r="V51" s="391" t="n"/>
      <c r="W51" s="399" t="n"/>
      <c r="X51" s="217" t="n"/>
      <c r="Y51" s="414">
        <f>G51-H51-I51</f>
        <v/>
      </c>
      <c r="Z51" s="414">
        <f>H51+I51</f>
        <v/>
      </c>
      <c r="AA51" s="414">
        <f>H51*N51</f>
        <v/>
      </c>
      <c r="AB51" s="123" t="n"/>
      <c r="AC51" s="123" t="n"/>
      <c r="AD51" s="123" t="n"/>
      <c r="AE51" s="123" t="n"/>
      <c r="AF51" s="123" t="n"/>
      <c r="AG51" s="123" t="n"/>
      <c r="AH51" s="123" t="n"/>
      <c r="AI51" s="123" t="n"/>
    </row>
    <row r="52" ht="27" customFormat="1" customHeight="1" s="3">
      <c r="A52" s="217" t="n"/>
      <c r="B52" s="418" t="n"/>
      <c r="C52" s="419" t="n"/>
      <c r="D52" s="113" t="n"/>
      <c r="E52" s="403" t="n"/>
      <c r="F52" s="404" t="n"/>
      <c r="G52" s="420" t="n"/>
      <c r="H52" s="406" t="n"/>
      <c r="I52" s="407" t="n"/>
      <c r="J52" s="408" t="n"/>
      <c r="K52" s="409" t="n"/>
      <c r="L52" s="391" t="n"/>
      <c r="M52" s="399" t="n"/>
      <c r="N52" s="410" t="n"/>
      <c r="O52" s="399" t="n"/>
      <c r="P52" s="411" t="n"/>
      <c r="Q52" s="399" t="n"/>
      <c r="R52" s="412" t="n"/>
      <c r="S52" s="399" t="n"/>
      <c r="T52" s="417" t="n"/>
      <c r="U52" s="391" t="n"/>
      <c r="V52" s="391" t="n"/>
      <c r="W52" s="399" t="n"/>
      <c r="X52" s="217" t="n"/>
      <c r="Y52" s="414">
        <f>G52-H52-I52</f>
        <v/>
      </c>
      <c r="Z52" s="414">
        <f>H52+I52</f>
        <v/>
      </c>
      <c r="AA52" s="414">
        <f>H52*N52</f>
        <v/>
      </c>
      <c r="AB52" s="123" t="n"/>
      <c r="AC52" s="123" t="n"/>
      <c r="AD52" s="123" t="n"/>
      <c r="AE52" s="123" t="n"/>
      <c r="AF52" s="123" t="n"/>
      <c r="AG52" s="123" t="n"/>
      <c r="AH52" s="123" t="n"/>
      <c r="AI52" s="123" t="n"/>
    </row>
    <row r="53" ht="27" customFormat="1" customHeight="1" s="3">
      <c r="A53" s="217" t="n"/>
      <c r="B53" s="418" t="n"/>
      <c r="C53" s="419" t="n"/>
      <c r="D53" s="113" t="n"/>
      <c r="E53" s="403" t="n"/>
      <c r="F53" s="404" t="n"/>
      <c r="G53" s="420" t="n"/>
      <c r="H53" s="406" t="n"/>
      <c r="I53" s="407" t="n"/>
      <c r="J53" s="408" t="n"/>
      <c r="K53" s="409" t="n"/>
      <c r="L53" s="391" t="n"/>
      <c r="M53" s="399" t="n"/>
      <c r="N53" s="410" t="n"/>
      <c r="O53" s="399" t="n"/>
      <c r="P53" s="411" t="n"/>
      <c r="Q53" s="399" t="n"/>
      <c r="R53" s="412" t="n"/>
      <c r="S53" s="399" t="n"/>
      <c r="T53" s="417" t="n"/>
      <c r="U53" s="391" t="n"/>
      <c r="V53" s="391" t="n"/>
      <c r="W53" s="399" t="n"/>
      <c r="X53" s="217" t="n"/>
      <c r="Y53" s="414">
        <f>G53-H53-I53</f>
        <v/>
      </c>
      <c r="Z53" s="414">
        <f>H53+I53</f>
        <v/>
      </c>
      <c r="AA53" s="414">
        <f>H53*N53</f>
        <v/>
      </c>
      <c r="AB53" s="123" t="n"/>
      <c r="AC53" s="123" t="n"/>
      <c r="AD53" s="123" t="n"/>
      <c r="AE53" s="123" t="n"/>
      <c r="AF53" s="123" t="n"/>
      <c r="AG53" s="123" t="n"/>
      <c r="AH53" s="123" t="n"/>
      <c r="AI53" s="123" t="n"/>
    </row>
    <row r="54" ht="27" customFormat="1" customHeight="1" s="3">
      <c r="A54" s="217" t="n"/>
      <c r="B54" s="418" t="n"/>
      <c r="C54" s="419" t="n"/>
      <c r="D54" s="113" t="n"/>
      <c r="E54" s="403" t="n"/>
      <c r="F54" s="404" t="n"/>
      <c r="G54" s="420" t="n"/>
      <c r="H54" s="406" t="n"/>
      <c r="I54" s="407" t="n"/>
      <c r="J54" s="408" t="n"/>
      <c r="K54" s="409" t="n"/>
      <c r="L54" s="391" t="n"/>
      <c r="M54" s="399" t="n"/>
      <c r="N54" s="410" t="n"/>
      <c r="O54" s="399" t="n"/>
      <c r="P54" s="411" t="n"/>
      <c r="Q54" s="399" t="n"/>
      <c r="R54" s="412" t="n"/>
      <c r="S54" s="399" t="n"/>
      <c r="T54" s="417" t="n"/>
      <c r="U54" s="391" t="n"/>
      <c r="V54" s="391" t="n"/>
      <c r="W54" s="399" t="n"/>
      <c r="X54" s="217" t="n"/>
      <c r="Y54" s="414">
        <f>G54-H54-I54</f>
        <v/>
      </c>
      <c r="Z54" s="414">
        <f>H54+I54</f>
        <v/>
      </c>
      <c r="AA54" s="414">
        <f>H54*N54</f>
        <v/>
      </c>
      <c r="AB54" s="123" t="n"/>
      <c r="AC54" s="123" t="n"/>
      <c r="AD54" s="123" t="n"/>
      <c r="AE54" s="123" t="n"/>
      <c r="AF54" s="123" t="n"/>
      <c r="AG54" s="123" t="n"/>
      <c r="AH54" s="123" t="n"/>
      <c r="AI54" s="123" t="n"/>
    </row>
    <row r="55" ht="27" customFormat="1" customHeight="1" s="3">
      <c r="A55" s="217" t="n"/>
      <c r="B55" s="418" t="n"/>
      <c r="C55" s="419" t="n"/>
      <c r="D55" s="113" t="n"/>
      <c r="E55" s="403" t="n"/>
      <c r="F55" s="404" t="n"/>
      <c r="G55" s="420" t="n"/>
      <c r="H55" s="406" t="n"/>
      <c r="I55" s="407" t="n"/>
      <c r="J55" s="408" t="n"/>
      <c r="K55" s="409" t="n"/>
      <c r="L55" s="391" t="n"/>
      <c r="M55" s="399" t="n"/>
      <c r="N55" s="410" t="n"/>
      <c r="O55" s="399" t="n"/>
      <c r="P55" s="411" t="n"/>
      <c r="Q55" s="399" t="n"/>
      <c r="R55" s="412" t="n"/>
      <c r="S55" s="399" t="n"/>
      <c r="T55" s="417" t="n"/>
      <c r="U55" s="391" t="n"/>
      <c r="V55" s="391" t="n"/>
      <c r="W55" s="399" t="n"/>
      <c r="X55" s="217" t="n"/>
      <c r="Y55" s="414">
        <f>G55-H55-I55</f>
        <v/>
      </c>
      <c r="Z55" s="414">
        <f>H55+I55</f>
        <v/>
      </c>
      <c r="AA55" s="414">
        <f>H55*N55</f>
        <v/>
      </c>
      <c r="AB55" s="123" t="n"/>
      <c r="AC55" s="123" t="n"/>
      <c r="AD55" s="123" t="n"/>
      <c r="AE55" s="123" t="n"/>
      <c r="AF55" s="123" t="n"/>
      <c r="AG55" s="123" t="n"/>
      <c r="AH55" s="123" t="n"/>
      <c r="AI55" s="123" t="n"/>
    </row>
    <row r="56" ht="27" customFormat="1" customHeight="1" s="3">
      <c r="A56" s="217" t="n"/>
      <c r="B56" s="418" t="n"/>
      <c r="C56" s="419" t="n"/>
      <c r="D56" s="113" t="n"/>
      <c r="E56" s="403" t="n"/>
      <c r="F56" s="404" t="n"/>
      <c r="G56" s="420" t="n"/>
      <c r="H56" s="406" t="n"/>
      <c r="I56" s="407" t="n"/>
      <c r="J56" s="408" t="n"/>
      <c r="K56" s="409" t="n"/>
      <c r="L56" s="391" t="n"/>
      <c r="M56" s="399" t="n"/>
      <c r="N56" s="410" t="n"/>
      <c r="O56" s="399" t="n"/>
      <c r="P56" s="411" t="n"/>
      <c r="Q56" s="399" t="n"/>
      <c r="R56" s="412" t="n"/>
      <c r="S56" s="399" t="n"/>
      <c r="T56" s="417" t="n"/>
      <c r="U56" s="391" t="n"/>
      <c r="V56" s="391" t="n"/>
      <c r="W56" s="399" t="n"/>
      <c r="X56" s="217" t="n"/>
      <c r="Y56" s="414">
        <f>G56-H56-I56</f>
        <v/>
      </c>
      <c r="Z56" s="414">
        <f>H56+I56</f>
        <v/>
      </c>
      <c r="AA56" s="414">
        <f>H56*N56</f>
        <v/>
      </c>
      <c r="AB56" s="123" t="n"/>
      <c r="AC56" s="123" t="n"/>
      <c r="AD56" s="123" t="n"/>
      <c r="AE56" s="123" t="n"/>
      <c r="AF56" s="123" t="n"/>
      <c r="AG56" s="123" t="n"/>
      <c r="AH56" s="123" t="n"/>
      <c r="AI56" s="123" t="n"/>
    </row>
    <row r="57" ht="27" customFormat="1" customHeight="1" s="3">
      <c r="A57" s="217" t="n"/>
      <c r="B57" s="418" t="n"/>
      <c r="C57" s="419" t="n"/>
      <c r="D57" s="113" t="n"/>
      <c r="E57" s="403" t="n"/>
      <c r="F57" s="404" t="n"/>
      <c r="G57" s="420" t="n"/>
      <c r="H57" s="406" t="n"/>
      <c r="I57" s="407" t="n"/>
      <c r="J57" s="408" t="n"/>
      <c r="K57" s="409" t="n"/>
      <c r="L57" s="391" t="n"/>
      <c r="M57" s="399" t="n"/>
      <c r="N57" s="410" t="n"/>
      <c r="O57" s="399" t="n"/>
      <c r="P57" s="411" t="n"/>
      <c r="Q57" s="399" t="n"/>
      <c r="R57" s="412" t="n"/>
      <c r="S57" s="399" t="n"/>
      <c r="T57" s="417" t="n"/>
      <c r="U57" s="391" t="n"/>
      <c r="V57" s="391" t="n"/>
      <c r="W57" s="399" t="n"/>
      <c r="X57" s="217" t="n"/>
      <c r="Y57" s="414">
        <f>G57-H57-I57</f>
        <v/>
      </c>
      <c r="Z57" s="414">
        <f>H57+I57</f>
        <v/>
      </c>
      <c r="AA57" s="414">
        <f>H57*N57</f>
        <v/>
      </c>
      <c r="AB57" s="123" t="n"/>
      <c r="AC57" s="123" t="n"/>
      <c r="AD57" s="123" t="n"/>
      <c r="AE57" s="123" t="n"/>
      <c r="AF57" s="123" t="n"/>
      <c r="AG57" s="123" t="n"/>
      <c r="AH57" s="123" t="n"/>
      <c r="AI57" s="123" t="n"/>
    </row>
    <row r="58" ht="27" customFormat="1" customHeight="1" s="3">
      <c r="A58" s="217" t="n"/>
      <c r="B58" s="418" t="n"/>
      <c r="C58" s="419" t="n"/>
      <c r="D58" s="113" t="n"/>
      <c r="E58" s="403" t="n"/>
      <c r="F58" s="404" t="n"/>
      <c r="G58" s="420" t="n"/>
      <c r="H58" s="406" t="n"/>
      <c r="I58" s="407" t="n"/>
      <c r="J58" s="408" t="n"/>
      <c r="K58" s="409" t="n"/>
      <c r="L58" s="391" t="n"/>
      <c r="M58" s="399" t="n"/>
      <c r="N58" s="410" t="n"/>
      <c r="O58" s="399" t="n"/>
      <c r="P58" s="411" t="n"/>
      <c r="Q58" s="399" t="n"/>
      <c r="R58" s="412" t="n"/>
      <c r="S58" s="399" t="n"/>
      <c r="T58" s="417" t="n"/>
      <c r="U58" s="391" t="n"/>
      <c r="V58" s="391" t="n"/>
      <c r="W58" s="399" t="n"/>
      <c r="X58" s="217" t="n"/>
      <c r="Y58" s="414">
        <f>G58-H58-I58</f>
        <v/>
      </c>
      <c r="Z58" s="414">
        <f>H58+I58</f>
        <v/>
      </c>
      <c r="AA58" s="414">
        <f>H58*N58</f>
        <v/>
      </c>
      <c r="AB58" s="123" t="n"/>
      <c r="AC58" s="123" t="n"/>
      <c r="AD58" s="123" t="n"/>
      <c r="AE58" s="123" t="n"/>
      <c r="AF58" s="123" t="n"/>
      <c r="AG58" s="123" t="n"/>
      <c r="AH58" s="123" t="n"/>
      <c r="AI58" s="123" t="n"/>
    </row>
    <row r="59" ht="27" customFormat="1" customHeight="1" s="3">
      <c r="A59" s="217" t="n"/>
      <c r="B59" s="418" t="n"/>
      <c r="C59" s="419" t="n"/>
      <c r="D59" s="113" t="n"/>
      <c r="E59" s="403" t="n"/>
      <c r="F59" s="404" t="n"/>
      <c r="G59" s="420" t="n"/>
      <c r="H59" s="406" t="n"/>
      <c r="I59" s="407" t="n"/>
      <c r="J59" s="408" t="n"/>
      <c r="K59" s="409" t="n"/>
      <c r="L59" s="391" t="n"/>
      <c r="M59" s="399" t="n"/>
      <c r="N59" s="410" t="n"/>
      <c r="O59" s="399" t="n"/>
      <c r="P59" s="411" t="n"/>
      <c r="Q59" s="399" t="n"/>
      <c r="R59" s="412" t="n"/>
      <c r="S59" s="399" t="n"/>
      <c r="T59" s="417" t="n"/>
      <c r="U59" s="391" t="n"/>
      <c r="V59" s="391" t="n"/>
      <c r="W59" s="399" t="n"/>
      <c r="X59" s="217" t="n"/>
      <c r="Y59" s="414">
        <f>G59-H59-I59</f>
        <v/>
      </c>
      <c r="Z59" s="414">
        <f>H59+I59</f>
        <v/>
      </c>
      <c r="AA59" s="414">
        <f>H59*N59</f>
        <v/>
      </c>
      <c r="AB59" s="123" t="n"/>
      <c r="AC59" s="123" t="n"/>
      <c r="AD59" s="123" t="n"/>
      <c r="AE59" s="123" t="n"/>
      <c r="AF59" s="123" t="n"/>
      <c r="AG59" s="123" t="n"/>
      <c r="AH59" s="123" t="n"/>
      <c r="AI59" s="123" t="n"/>
    </row>
    <row r="60" ht="27" customFormat="1" customHeight="1" s="3">
      <c r="A60" s="217" t="n"/>
      <c r="B60" s="418" t="n"/>
      <c r="C60" s="419" t="n"/>
      <c r="D60" s="113" t="n"/>
      <c r="E60" s="403" t="n"/>
      <c r="F60" s="404" t="n"/>
      <c r="G60" s="420" t="n"/>
      <c r="H60" s="406" t="n"/>
      <c r="I60" s="407" t="n"/>
      <c r="J60" s="408" t="n"/>
      <c r="K60" s="409" t="n"/>
      <c r="L60" s="391" t="n"/>
      <c r="M60" s="399" t="n"/>
      <c r="N60" s="410" t="n"/>
      <c r="O60" s="399" t="n"/>
      <c r="P60" s="411" t="n"/>
      <c r="Q60" s="399" t="n"/>
      <c r="R60" s="412" t="n"/>
      <c r="S60" s="399" t="n"/>
      <c r="T60" s="417" t="n"/>
      <c r="U60" s="391" t="n"/>
      <c r="V60" s="391" t="n"/>
      <c r="W60" s="399" t="n"/>
      <c r="X60" s="217" t="n"/>
      <c r="Y60" s="414">
        <f>G60-H60-I60</f>
        <v/>
      </c>
      <c r="Z60" s="414">
        <f>H60+I60</f>
        <v/>
      </c>
      <c r="AA60" s="414">
        <f>H60*N60</f>
        <v/>
      </c>
      <c r="AB60" s="123" t="n"/>
      <c r="AC60" s="123" t="n"/>
      <c r="AD60" s="123" t="n"/>
      <c r="AE60" s="123" t="n"/>
      <c r="AF60" s="123" t="n"/>
      <c r="AG60" s="123" t="n"/>
      <c r="AH60" s="123" t="n"/>
      <c r="AI60" s="123" t="n"/>
    </row>
    <row r="61" ht="27" customFormat="1" customHeight="1" s="3">
      <c r="A61" s="217" t="n"/>
      <c r="B61" s="418" t="n"/>
      <c r="C61" s="419" t="n"/>
      <c r="D61" s="113" t="n"/>
      <c r="E61" s="403" t="n"/>
      <c r="F61" s="404" t="n"/>
      <c r="G61" s="420" t="n"/>
      <c r="H61" s="406" t="n"/>
      <c r="I61" s="407" t="n"/>
      <c r="J61" s="408" t="n"/>
      <c r="K61" s="409" t="n"/>
      <c r="L61" s="391" t="n"/>
      <c r="M61" s="399" t="n"/>
      <c r="N61" s="410" t="n"/>
      <c r="O61" s="399" t="n"/>
      <c r="P61" s="411" t="n"/>
      <c r="Q61" s="399" t="n"/>
      <c r="R61" s="412" t="n"/>
      <c r="S61" s="399" t="n"/>
      <c r="T61" s="417" t="n"/>
      <c r="U61" s="391" t="n"/>
      <c r="V61" s="391" t="n"/>
      <c r="W61" s="399" t="n"/>
      <c r="X61" s="217" t="n"/>
      <c r="Y61" s="414">
        <f>G61-H61-I61</f>
        <v/>
      </c>
      <c r="Z61" s="414">
        <f>H61+I61</f>
        <v/>
      </c>
      <c r="AA61" s="414">
        <f>H61*N61</f>
        <v/>
      </c>
      <c r="AB61" s="123" t="n"/>
      <c r="AC61" s="123" t="n"/>
      <c r="AD61" s="123" t="n"/>
      <c r="AE61" s="123" t="n"/>
      <c r="AF61" s="123" t="n"/>
      <c r="AG61" s="123" t="n"/>
      <c r="AH61" s="123" t="n"/>
      <c r="AI61" s="123" t="n"/>
    </row>
    <row r="62" ht="27" customFormat="1" customHeight="1" s="3">
      <c r="A62" s="217" t="n"/>
      <c r="B62" s="418" t="n"/>
      <c r="C62" s="419" t="n"/>
      <c r="D62" s="113" t="n"/>
      <c r="E62" s="403" t="n"/>
      <c r="F62" s="404" t="n"/>
      <c r="G62" s="420" t="n"/>
      <c r="H62" s="406" t="n"/>
      <c r="I62" s="407" t="n"/>
      <c r="J62" s="408" t="n"/>
      <c r="K62" s="409" t="n"/>
      <c r="L62" s="391" t="n"/>
      <c r="M62" s="399" t="n"/>
      <c r="N62" s="410" t="n"/>
      <c r="O62" s="399" t="n"/>
      <c r="P62" s="411" t="n"/>
      <c r="Q62" s="399" t="n"/>
      <c r="R62" s="412" t="n"/>
      <c r="S62" s="399" t="n"/>
      <c r="T62" s="417" t="n"/>
      <c r="U62" s="391" t="n"/>
      <c r="V62" s="391" t="n"/>
      <c r="W62" s="399" t="n"/>
      <c r="X62" s="217" t="n"/>
      <c r="Y62" s="414">
        <f>G62-H62-I62</f>
        <v/>
      </c>
      <c r="Z62" s="414">
        <f>H62+I62</f>
        <v/>
      </c>
      <c r="AA62" s="414">
        <f>H62*N62</f>
        <v/>
      </c>
      <c r="AB62" s="123" t="n"/>
      <c r="AC62" s="123" t="n"/>
      <c r="AD62" s="123" t="n"/>
      <c r="AE62" s="123" t="n"/>
      <c r="AF62" s="123" t="n"/>
      <c r="AG62" s="123" t="n"/>
      <c r="AH62" s="123" t="n"/>
      <c r="AI62" s="123" t="n"/>
    </row>
    <row r="63" ht="27" customFormat="1" customHeight="1" s="3">
      <c r="A63" s="217" t="n"/>
      <c r="B63" s="418" t="n"/>
      <c r="C63" s="419" t="n"/>
      <c r="D63" s="113" t="n"/>
      <c r="E63" s="403" t="n"/>
      <c r="F63" s="404" t="n"/>
      <c r="G63" s="420" t="n"/>
      <c r="H63" s="406" t="n"/>
      <c r="I63" s="407" t="n"/>
      <c r="J63" s="408" t="n"/>
      <c r="K63" s="409" t="n"/>
      <c r="L63" s="391" t="n"/>
      <c r="M63" s="399" t="n"/>
      <c r="N63" s="410" t="n"/>
      <c r="O63" s="399" t="n"/>
      <c r="P63" s="411" t="n"/>
      <c r="Q63" s="399" t="n"/>
      <c r="R63" s="412" t="n"/>
      <c r="S63" s="399" t="n"/>
      <c r="T63" s="417" t="n"/>
      <c r="U63" s="391" t="n"/>
      <c r="V63" s="391" t="n"/>
      <c r="W63" s="399" t="n"/>
      <c r="X63" s="217" t="n"/>
      <c r="Y63" s="414">
        <f>G63-H63-I63</f>
        <v/>
      </c>
      <c r="Z63" s="414">
        <f>H63+I63</f>
        <v/>
      </c>
      <c r="AA63" s="414">
        <f>H63*N63</f>
        <v/>
      </c>
      <c r="AB63" s="123" t="n"/>
      <c r="AC63" s="123" t="n"/>
      <c r="AD63" s="123" t="n"/>
      <c r="AE63" s="123" t="n"/>
      <c r="AF63" s="123" t="n"/>
      <c r="AG63" s="123" t="n"/>
      <c r="AH63" s="123" t="n"/>
      <c r="AI63" s="123" t="n"/>
    </row>
    <row r="64" ht="27" customFormat="1" customHeight="1" s="3">
      <c r="A64" s="217" t="n"/>
      <c r="B64" s="418" t="n"/>
      <c r="C64" s="419" t="n"/>
      <c r="D64" s="113" t="n"/>
      <c r="E64" s="403" t="n"/>
      <c r="F64" s="404" t="n"/>
      <c r="G64" s="420" t="n"/>
      <c r="H64" s="406" t="n"/>
      <c r="I64" s="407" t="n"/>
      <c r="J64" s="408" t="n"/>
      <c r="K64" s="409" t="n"/>
      <c r="L64" s="391" t="n"/>
      <c r="M64" s="399" t="n"/>
      <c r="N64" s="410" t="n"/>
      <c r="O64" s="399" t="n"/>
      <c r="P64" s="411" t="n"/>
      <c r="Q64" s="399" t="n"/>
      <c r="R64" s="412" t="n"/>
      <c r="S64" s="399" t="n"/>
      <c r="T64" s="417" t="n"/>
      <c r="U64" s="391" t="n"/>
      <c r="V64" s="391" t="n"/>
      <c r="W64" s="399" t="n"/>
      <c r="X64" s="217" t="n"/>
      <c r="Y64" s="414">
        <f>G64-H64-I64</f>
        <v/>
      </c>
      <c r="Z64" s="414">
        <f>H64+I64</f>
        <v/>
      </c>
      <c r="AA64" s="414">
        <f>H64*N64</f>
        <v/>
      </c>
      <c r="AB64" s="123" t="n"/>
      <c r="AC64" s="123" t="n"/>
      <c r="AD64" s="123" t="n"/>
      <c r="AE64" s="123" t="n"/>
      <c r="AF64" s="123" t="n"/>
      <c r="AG64" s="123" t="n"/>
      <c r="AH64" s="123" t="n"/>
      <c r="AI64" s="123" t="n"/>
    </row>
    <row r="65" ht="27" customFormat="1" customHeight="1" s="3">
      <c r="A65" s="217" t="n"/>
      <c r="B65" s="418" t="n"/>
      <c r="C65" s="419" t="n"/>
      <c r="D65" s="113" t="n"/>
      <c r="E65" s="403" t="n"/>
      <c r="F65" s="404" t="n"/>
      <c r="G65" s="420" t="n"/>
      <c r="H65" s="406" t="n"/>
      <c r="I65" s="407" t="n"/>
      <c r="J65" s="408" t="n"/>
      <c r="K65" s="409" t="n"/>
      <c r="L65" s="391" t="n"/>
      <c r="M65" s="399" t="n"/>
      <c r="N65" s="410" t="n"/>
      <c r="O65" s="399" t="n"/>
      <c r="P65" s="411" t="n"/>
      <c r="Q65" s="399" t="n"/>
      <c r="R65" s="412" t="n"/>
      <c r="S65" s="399" t="n"/>
      <c r="T65" s="417" t="n"/>
      <c r="U65" s="391" t="n"/>
      <c r="V65" s="391" t="n"/>
      <c r="W65" s="399" t="n"/>
      <c r="X65" s="217" t="n"/>
      <c r="Y65" s="414">
        <f>G65-H65-I65</f>
        <v/>
      </c>
      <c r="Z65" s="414">
        <f>H65+I65</f>
        <v/>
      </c>
      <c r="AA65" s="414">
        <f>H65*N65</f>
        <v/>
      </c>
      <c r="AB65" s="123" t="n"/>
      <c r="AC65" s="123" t="n"/>
      <c r="AD65" s="123" t="n"/>
      <c r="AE65" s="123" t="n"/>
      <c r="AF65" s="123" t="n"/>
      <c r="AG65" s="123" t="n"/>
      <c r="AH65" s="123" t="n"/>
      <c r="AI65" s="123" t="n"/>
    </row>
    <row r="66" ht="27" customFormat="1" customHeight="1" s="3">
      <c r="A66" s="217" t="n"/>
      <c r="B66" s="418" t="n"/>
      <c r="C66" s="419" t="n"/>
      <c r="D66" s="113" t="n"/>
      <c r="E66" s="403" t="n"/>
      <c r="F66" s="404" t="n"/>
      <c r="G66" s="420" t="n"/>
      <c r="H66" s="406" t="n"/>
      <c r="I66" s="407" t="n"/>
      <c r="J66" s="408" t="n"/>
      <c r="K66" s="409" t="n"/>
      <c r="L66" s="391" t="n"/>
      <c r="M66" s="399" t="n"/>
      <c r="N66" s="410" t="n"/>
      <c r="O66" s="399" t="n"/>
      <c r="P66" s="411" t="n"/>
      <c r="Q66" s="399" t="n"/>
      <c r="R66" s="412" t="n"/>
      <c r="S66" s="399" t="n"/>
      <c r="T66" s="417" t="n"/>
      <c r="U66" s="391" t="n"/>
      <c r="V66" s="391" t="n"/>
      <c r="W66" s="399" t="n"/>
      <c r="X66" s="217" t="n"/>
      <c r="Y66" s="414">
        <f>G66-H66-I66</f>
        <v/>
      </c>
      <c r="Z66" s="414">
        <f>H66+I66</f>
        <v/>
      </c>
      <c r="AA66" s="414">
        <f>H66*N66</f>
        <v/>
      </c>
      <c r="AB66" s="123" t="n"/>
      <c r="AC66" s="123" t="n"/>
      <c r="AD66" s="123" t="n"/>
      <c r="AE66" s="123" t="n"/>
      <c r="AF66" s="123" t="n"/>
      <c r="AG66" s="123" t="n"/>
      <c r="AH66" s="123" t="n"/>
      <c r="AI66" s="123" t="n"/>
    </row>
    <row r="67" ht="27" customFormat="1" customHeight="1" s="3">
      <c r="A67" s="217" t="n"/>
      <c r="B67" s="418" t="n"/>
      <c r="C67" s="419" t="n"/>
      <c r="D67" s="113" t="n"/>
      <c r="E67" s="403" t="n"/>
      <c r="F67" s="404" t="n"/>
      <c r="G67" s="420" t="n"/>
      <c r="H67" s="406" t="n"/>
      <c r="I67" s="407" t="n"/>
      <c r="J67" s="408" t="n"/>
      <c r="K67" s="409" t="n"/>
      <c r="L67" s="391" t="n"/>
      <c r="M67" s="399" t="n"/>
      <c r="N67" s="410" t="n"/>
      <c r="O67" s="399" t="n"/>
      <c r="P67" s="411" t="n"/>
      <c r="Q67" s="399" t="n"/>
      <c r="R67" s="412" t="n"/>
      <c r="S67" s="399" t="n"/>
      <c r="T67" s="417" t="n"/>
      <c r="U67" s="391" t="n"/>
      <c r="V67" s="391" t="n"/>
      <c r="W67" s="399" t="n"/>
      <c r="X67" s="217" t="n"/>
      <c r="Y67" s="414">
        <f>G67-H67-I67</f>
        <v/>
      </c>
      <c r="Z67" s="414">
        <f>H67+I67</f>
        <v/>
      </c>
      <c r="AA67" s="414">
        <f>H67*N67</f>
        <v/>
      </c>
      <c r="AB67" s="123" t="n"/>
      <c r="AC67" s="123" t="n"/>
      <c r="AD67" s="123" t="n"/>
      <c r="AE67" s="123" t="n"/>
      <c r="AF67" s="123" t="n"/>
      <c r="AG67" s="123" t="n"/>
      <c r="AH67" s="123" t="n"/>
      <c r="AI67" s="123" t="n"/>
    </row>
    <row r="68" ht="27" customFormat="1" customHeight="1" s="3">
      <c r="A68" s="217" t="n"/>
      <c r="B68" s="418" t="n"/>
      <c r="C68" s="419" t="n"/>
      <c r="D68" s="113" t="n"/>
      <c r="E68" s="403" t="n"/>
      <c r="F68" s="404" t="n"/>
      <c r="G68" s="420" t="n"/>
      <c r="H68" s="406" t="n"/>
      <c r="I68" s="407" t="n"/>
      <c r="J68" s="408" t="n"/>
      <c r="K68" s="409" t="n"/>
      <c r="L68" s="391" t="n"/>
      <c r="M68" s="399" t="n"/>
      <c r="N68" s="410" t="n"/>
      <c r="O68" s="399" t="n"/>
      <c r="P68" s="411" t="n"/>
      <c r="Q68" s="399" t="n"/>
      <c r="R68" s="412" t="n"/>
      <c r="S68" s="399" t="n"/>
      <c r="T68" s="417" t="n"/>
      <c r="U68" s="391" t="n"/>
      <c r="V68" s="391" t="n"/>
      <c r="W68" s="399" t="n"/>
      <c r="X68" s="217" t="n"/>
      <c r="Y68" s="414">
        <f>G68-H68-I68</f>
        <v/>
      </c>
      <c r="Z68" s="414">
        <f>H68+I68</f>
        <v/>
      </c>
      <c r="AA68" s="414">
        <f>H68*N68</f>
        <v/>
      </c>
      <c r="AB68" s="123" t="n"/>
      <c r="AC68" s="123" t="n"/>
      <c r="AD68" s="123" t="n"/>
      <c r="AE68" s="123" t="n"/>
      <c r="AF68" s="123" t="n"/>
      <c r="AG68" s="123" t="n"/>
      <c r="AH68" s="123" t="n"/>
      <c r="AI68" s="123" t="n"/>
    </row>
    <row r="69" ht="27" customFormat="1" customHeight="1" s="3">
      <c r="A69" s="217" t="n"/>
      <c r="B69" s="418" t="n"/>
      <c r="C69" s="419" t="n"/>
      <c r="D69" s="113" t="n"/>
      <c r="E69" s="403" t="n"/>
      <c r="F69" s="404" t="n"/>
      <c r="G69" s="420" t="n"/>
      <c r="H69" s="406" t="n"/>
      <c r="I69" s="407" t="n"/>
      <c r="J69" s="408" t="n"/>
      <c r="K69" s="409" t="n"/>
      <c r="L69" s="391" t="n"/>
      <c r="M69" s="399" t="n"/>
      <c r="N69" s="410" t="n"/>
      <c r="O69" s="399" t="n"/>
      <c r="P69" s="411" t="n"/>
      <c r="Q69" s="399" t="n"/>
      <c r="R69" s="412" t="n"/>
      <c r="S69" s="399" t="n"/>
      <c r="T69" s="417" t="n"/>
      <c r="U69" s="391" t="n"/>
      <c r="V69" s="391" t="n"/>
      <c r="W69" s="399" t="n"/>
      <c r="X69" s="217" t="n"/>
      <c r="Y69" s="414">
        <f>G69-H69-I69</f>
        <v/>
      </c>
      <c r="Z69" s="414">
        <f>H69+I69</f>
        <v/>
      </c>
      <c r="AA69" s="414">
        <f>H69*N69</f>
        <v/>
      </c>
      <c r="AB69" s="123" t="n"/>
      <c r="AC69" s="123" t="n"/>
      <c r="AD69" s="123" t="n"/>
      <c r="AE69" s="123" t="n"/>
      <c r="AF69" s="123" t="n"/>
      <c r="AG69" s="123" t="n"/>
      <c r="AH69" s="123" t="n"/>
      <c r="AI69" s="123" t="n"/>
    </row>
    <row r="70" ht="27" customFormat="1" customHeight="1" s="3">
      <c r="A70" s="217" t="n"/>
      <c r="B70" s="418" t="n"/>
      <c r="C70" s="419" t="n"/>
      <c r="D70" s="113" t="n"/>
      <c r="E70" s="403" t="n"/>
      <c r="F70" s="404" t="n"/>
      <c r="G70" s="420" t="n"/>
      <c r="H70" s="406" t="n"/>
      <c r="I70" s="407" t="n"/>
      <c r="J70" s="408" t="n"/>
      <c r="K70" s="409" t="n"/>
      <c r="L70" s="391" t="n"/>
      <c r="M70" s="399" t="n"/>
      <c r="N70" s="410" t="n"/>
      <c r="O70" s="399" t="n"/>
      <c r="P70" s="411" t="n"/>
      <c r="Q70" s="399" t="n"/>
      <c r="R70" s="412" t="n"/>
      <c r="S70" s="399" t="n"/>
      <c r="T70" s="417" t="n"/>
      <c r="U70" s="391" t="n"/>
      <c r="V70" s="391" t="n"/>
      <c r="W70" s="399" t="n"/>
      <c r="X70" s="217" t="n"/>
      <c r="Y70" s="414">
        <f>G70-H70-I70</f>
        <v/>
      </c>
      <c r="Z70" s="414">
        <f>H70+I70</f>
        <v/>
      </c>
      <c r="AA70" s="414">
        <f>H70*N70</f>
        <v/>
      </c>
      <c r="AB70" s="123" t="n"/>
      <c r="AC70" s="123" t="n"/>
      <c r="AD70" s="123" t="n"/>
      <c r="AE70" s="123" t="n"/>
      <c r="AF70" s="123" t="n"/>
      <c r="AG70" s="123" t="n"/>
      <c r="AH70" s="123" t="n"/>
      <c r="AI70" s="123" t="n"/>
    </row>
    <row r="71" ht="27" customFormat="1" customHeight="1" s="3">
      <c r="A71" s="217" t="n"/>
      <c r="B71" s="418" t="n"/>
      <c r="C71" s="419" t="n"/>
      <c r="D71" s="113" t="n"/>
      <c r="E71" s="403" t="n"/>
      <c r="F71" s="404" t="n"/>
      <c r="G71" s="420" t="n"/>
      <c r="H71" s="406" t="n"/>
      <c r="I71" s="407" t="n"/>
      <c r="J71" s="408" t="n"/>
      <c r="K71" s="409" t="n"/>
      <c r="L71" s="391" t="n"/>
      <c r="M71" s="399" t="n"/>
      <c r="N71" s="410" t="n"/>
      <c r="O71" s="399" t="n"/>
      <c r="P71" s="411" t="n"/>
      <c r="Q71" s="399" t="n"/>
      <c r="R71" s="412" t="n"/>
      <c r="S71" s="399" t="n"/>
      <c r="T71" s="417" t="n"/>
      <c r="U71" s="391" t="n"/>
      <c r="V71" s="391" t="n"/>
      <c r="W71" s="399" t="n"/>
      <c r="X71" s="217" t="n"/>
      <c r="Y71" s="414">
        <f>G71-H71-I71</f>
        <v/>
      </c>
      <c r="Z71" s="414">
        <f>H71+I71</f>
        <v/>
      </c>
      <c r="AA71" s="414">
        <f>H71*N71</f>
        <v/>
      </c>
      <c r="AB71" s="123" t="n"/>
      <c r="AC71" s="123" t="n"/>
      <c r="AD71" s="123" t="n"/>
      <c r="AE71" s="123" t="n"/>
      <c r="AF71" s="123" t="n"/>
      <c r="AG71" s="123" t="n"/>
      <c r="AH71" s="123" t="n"/>
      <c r="AI71" s="123" t="n"/>
    </row>
    <row r="72" ht="27" customFormat="1" customHeight="1" s="3">
      <c r="A72" s="217" t="n"/>
      <c r="B72" s="418" t="n"/>
      <c r="C72" s="419" t="n"/>
      <c r="D72" s="113" t="n"/>
      <c r="E72" s="403" t="n"/>
      <c r="F72" s="404" t="n"/>
      <c r="G72" s="420" t="n"/>
      <c r="H72" s="406" t="n"/>
      <c r="I72" s="407" t="n"/>
      <c r="J72" s="408" t="n"/>
      <c r="K72" s="409" t="n"/>
      <c r="L72" s="391" t="n"/>
      <c r="M72" s="399" t="n"/>
      <c r="N72" s="410" t="n"/>
      <c r="O72" s="399" t="n"/>
      <c r="P72" s="411" t="n"/>
      <c r="Q72" s="399" t="n"/>
      <c r="R72" s="412" t="n"/>
      <c r="S72" s="399" t="n"/>
      <c r="T72" s="417" t="n"/>
      <c r="U72" s="391" t="n"/>
      <c r="V72" s="391" t="n"/>
      <c r="W72" s="399" t="n"/>
      <c r="X72" s="217" t="n"/>
      <c r="Y72" s="414">
        <f>G72-H72-I72</f>
        <v/>
      </c>
      <c r="Z72" s="414">
        <f>H72+I72</f>
        <v/>
      </c>
      <c r="AA72" s="414">
        <f>H72*N72</f>
        <v/>
      </c>
      <c r="AB72" s="123" t="n"/>
      <c r="AC72" s="123" t="n"/>
      <c r="AD72" s="123" t="n"/>
      <c r="AE72" s="123" t="n"/>
      <c r="AF72" s="123" t="n"/>
      <c r="AG72" s="123" t="n"/>
      <c r="AH72" s="123" t="n"/>
      <c r="AI72" s="123" t="n"/>
    </row>
    <row r="73" ht="27" customFormat="1" customHeight="1" s="3">
      <c r="A73" s="217" t="n"/>
      <c r="B73" s="418" t="n"/>
      <c r="C73" s="419" t="n"/>
      <c r="D73" s="113" t="n"/>
      <c r="E73" s="403" t="n"/>
      <c r="F73" s="404" t="n"/>
      <c r="G73" s="420" t="n"/>
      <c r="H73" s="406" t="n"/>
      <c r="I73" s="407" t="n"/>
      <c r="J73" s="408" t="n"/>
      <c r="K73" s="409" t="n"/>
      <c r="L73" s="391" t="n"/>
      <c r="M73" s="399" t="n"/>
      <c r="N73" s="410" t="n"/>
      <c r="O73" s="399" t="n"/>
      <c r="P73" s="411" t="n"/>
      <c r="Q73" s="399" t="n"/>
      <c r="R73" s="412" t="n"/>
      <c r="S73" s="399" t="n"/>
      <c r="T73" s="417" t="n"/>
      <c r="U73" s="391" t="n"/>
      <c r="V73" s="391" t="n"/>
      <c r="W73" s="399" t="n"/>
      <c r="X73" s="217" t="n"/>
      <c r="Y73" s="414">
        <f>G73-H73-I73</f>
        <v/>
      </c>
      <c r="Z73" s="414">
        <f>H73+I73</f>
        <v/>
      </c>
      <c r="AA73" s="414">
        <f>H73*N73</f>
        <v/>
      </c>
      <c r="AB73" s="123" t="n"/>
      <c r="AC73" s="123" t="n"/>
      <c r="AD73" s="123" t="n"/>
      <c r="AE73" s="123" t="n"/>
      <c r="AF73" s="123" t="n"/>
      <c r="AG73" s="123" t="n"/>
      <c r="AH73" s="123" t="n"/>
      <c r="AI73" s="123" t="n"/>
    </row>
    <row r="74" ht="27" customFormat="1" customHeight="1" s="3">
      <c r="A74" s="217" t="n"/>
      <c r="B74" s="418" t="n"/>
      <c r="C74" s="419" t="n"/>
      <c r="D74" s="113" t="n"/>
      <c r="E74" s="403" t="n"/>
      <c r="F74" s="404" t="n"/>
      <c r="G74" s="420" t="n"/>
      <c r="H74" s="406" t="n"/>
      <c r="I74" s="407" t="n"/>
      <c r="J74" s="408" t="n"/>
      <c r="K74" s="409" t="n"/>
      <c r="L74" s="391" t="n"/>
      <c r="M74" s="399" t="n"/>
      <c r="N74" s="410" t="n"/>
      <c r="O74" s="399" t="n"/>
      <c r="P74" s="411" t="n"/>
      <c r="Q74" s="399" t="n"/>
      <c r="R74" s="412" t="n"/>
      <c r="S74" s="399" t="n"/>
      <c r="T74" s="417" t="n"/>
      <c r="U74" s="391" t="n"/>
      <c r="V74" s="391" t="n"/>
      <c r="W74" s="399" t="n"/>
      <c r="X74" s="217" t="n"/>
      <c r="Y74" s="414">
        <f>G74-H74-I74</f>
        <v/>
      </c>
      <c r="Z74" s="414">
        <f>H74+I74</f>
        <v/>
      </c>
      <c r="AA74" s="414">
        <f>H74*N74</f>
        <v/>
      </c>
      <c r="AB74" s="123" t="n"/>
      <c r="AC74" s="123" t="n"/>
      <c r="AD74" s="123" t="n"/>
      <c r="AE74" s="123" t="n"/>
      <c r="AF74" s="123" t="n"/>
      <c r="AG74" s="123" t="n"/>
      <c r="AH74" s="123" t="n"/>
      <c r="AI74" s="123" t="n"/>
    </row>
    <row r="75" ht="27" customFormat="1" customHeight="1" s="3">
      <c r="A75" s="217" t="n"/>
      <c r="B75" s="418" t="n"/>
      <c r="C75" s="419" t="n"/>
      <c r="D75" s="113" t="n"/>
      <c r="E75" s="403" t="n"/>
      <c r="F75" s="404" t="n"/>
      <c r="G75" s="420" t="n"/>
      <c r="H75" s="406" t="n"/>
      <c r="I75" s="407" t="n"/>
      <c r="J75" s="408" t="n"/>
      <c r="K75" s="409" t="n"/>
      <c r="L75" s="391" t="n"/>
      <c r="M75" s="399" t="n"/>
      <c r="N75" s="410" t="n"/>
      <c r="O75" s="399" t="n"/>
      <c r="P75" s="411" t="n"/>
      <c r="Q75" s="399" t="n"/>
      <c r="R75" s="412" t="n"/>
      <c r="S75" s="399" t="n"/>
      <c r="T75" s="417" t="n"/>
      <c r="U75" s="391" t="n"/>
      <c r="V75" s="391" t="n"/>
      <c r="W75" s="399" t="n"/>
      <c r="X75" s="217" t="n"/>
      <c r="Y75" s="414">
        <f>G75-H75-I75</f>
        <v/>
      </c>
      <c r="Z75" s="414">
        <f>H75+I75</f>
        <v/>
      </c>
      <c r="AA75" s="414">
        <f>H75*N75</f>
        <v/>
      </c>
      <c r="AB75" s="123" t="n"/>
      <c r="AC75" s="123" t="n"/>
      <c r="AD75" s="123" t="n"/>
      <c r="AE75" s="123" t="n"/>
      <c r="AF75" s="123" t="n"/>
      <c r="AG75" s="123" t="n"/>
      <c r="AH75" s="123" t="n"/>
      <c r="AI75" s="123" t="n"/>
    </row>
    <row r="76" ht="27" customFormat="1" customHeight="1" s="3">
      <c r="A76" s="217" t="n"/>
      <c r="B76" s="418" t="n"/>
      <c r="C76" s="419" t="n"/>
      <c r="D76" s="113" t="n"/>
      <c r="E76" s="403" t="n"/>
      <c r="F76" s="404" t="n"/>
      <c r="G76" s="420" t="n"/>
      <c r="H76" s="406" t="n"/>
      <c r="I76" s="407" t="n"/>
      <c r="J76" s="408" t="n"/>
      <c r="K76" s="409" t="n"/>
      <c r="L76" s="391" t="n"/>
      <c r="M76" s="399" t="n"/>
      <c r="N76" s="410" t="n"/>
      <c r="O76" s="399" t="n"/>
      <c r="P76" s="411" t="n"/>
      <c r="Q76" s="399" t="n"/>
      <c r="R76" s="412" t="n"/>
      <c r="S76" s="399" t="n"/>
      <c r="T76" s="417" t="n"/>
      <c r="U76" s="391" t="n"/>
      <c r="V76" s="391" t="n"/>
      <c r="W76" s="399" t="n"/>
      <c r="X76" s="217" t="n"/>
      <c r="Y76" s="414">
        <f>G76-H76-I76</f>
        <v/>
      </c>
      <c r="Z76" s="414">
        <f>H76+I76</f>
        <v/>
      </c>
      <c r="AA76" s="414">
        <f>H76*N76</f>
        <v/>
      </c>
      <c r="AB76" s="123" t="n"/>
      <c r="AC76" s="123" t="n"/>
      <c r="AD76" s="123" t="n"/>
      <c r="AE76" s="123" t="n"/>
      <c r="AF76" s="123" t="n"/>
      <c r="AG76" s="123" t="n"/>
      <c r="AH76" s="123" t="n"/>
      <c r="AI76" s="123" t="n"/>
    </row>
    <row r="77" ht="27" customFormat="1" customHeight="1" s="3">
      <c r="A77" s="217" t="n"/>
      <c r="B77" s="418" t="n"/>
      <c r="C77" s="419" t="n"/>
      <c r="D77" s="113" t="n"/>
      <c r="E77" s="403" t="n"/>
      <c r="F77" s="404" t="n"/>
      <c r="G77" s="420" t="n"/>
      <c r="H77" s="406" t="n"/>
      <c r="I77" s="407" t="n"/>
      <c r="J77" s="408" t="n"/>
      <c r="K77" s="409" t="n"/>
      <c r="L77" s="391" t="n"/>
      <c r="M77" s="399" t="n"/>
      <c r="N77" s="410" t="n"/>
      <c r="O77" s="399" t="n"/>
      <c r="P77" s="411" t="n"/>
      <c r="Q77" s="399" t="n"/>
      <c r="R77" s="412" t="n"/>
      <c r="S77" s="399" t="n"/>
      <c r="T77" s="417" t="n"/>
      <c r="U77" s="391" t="n"/>
      <c r="V77" s="391" t="n"/>
      <c r="W77" s="399" t="n"/>
      <c r="X77" s="217" t="n"/>
      <c r="Y77" s="414">
        <f>G77-H77-I77</f>
        <v/>
      </c>
      <c r="Z77" s="414">
        <f>H77+I77</f>
        <v/>
      </c>
      <c r="AA77" s="414">
        <f>H77*N77</f>
        <v/>
      </c>
      <c r="AB77" s="123" t="n"/>
      <c r="AC77" s="123" t="n"/>
      <c r="AD77" s="123" t="n"/>
      <c r="AE77" s="123" t="n"/>
      <c r="AF77" s="123" t="n"/>
      <c r="AG77" s="123" t="n"/>
      <c r="AH77" s="123" t="n"/>
      <c r="AI77" s="123" t="n"/>
    </row>
    <row r="78" ht="27" customFormat="1" customHeight="1" s="3">
      <c r="A78" s="217" t="n"/>
      <c r="B78" s="418" t="n"/>
      <c r="C78" s="419" t="n"/>
      <c r="D78" s="113" t="n"/>
      <c r="E78" s="403" t="n"/>
      <c r="F78" s="404" t="n"/>
      <c r="G78" s="420" t="n"/>
      <c r="H78" s="406" t="n"/>
      <c r="I78" s="407" t="n"/>
      <c r="J78" s="408" t="n"/>
      <c r="K78" s="409" t="n"/>
      <c r="L78" s="391" t="n"/>
      <c r="M78" s="399" t="n"/>
      <c r="N78" s="410" t="n"/>
      <c r="O78" s="399" t="n"/>
      <c r="P78" s="411" t="n"/>
      <c r="Q78" s="399" t="n"/>
      <c r="R78" s="412" t="n"/>
      <c r="S78" s="399" t="n"/>
      <c r="T78" s="417" t="n"/>
      <c r="U78" s="391" t="n"/>
      <c r="V78" s="391" t="n"/>
      <c r="W78" s="399" t="n"/>
      <c r="X78" s="217" t="n"/>
      <c r="Y78" s="414">
        <f>G78-H78-I78</f>
        <v/>
      </c>
      <c r="Z78" s="414">
        <f>H78+I78</f>
        <v/>
      </c>
      <c r="AA78" s="414">
        <f>H78*N78</f>
        <v/>
      </c>
      <c r="AB78" s="123" t="n"/>
      <c r="AC78" s="123" t="n"/>
      <c r="AD78" s="123" t="n"/>
      <c r="AE78" s="123" t="n"/>
      <c r="AF78" s="123" t="n"/>
      <c r="AG78" s="123" t="n"/>
      <c r="AH78" s="123" t="n"/>
      <c r="AI78" s="123" t="n"/>
    </row>
    <row r="79" ht="27" customFormat="1" customHeight="1" s="3">
      <c r="A79" s="217" t="n"/>
      <c r="B79" s="418" t="n"/>
      <c r="C79" s="419" t="n"/>
      <c r="D79" s="113" t="n"/>
      <c r="E79" s="403" t="n"/>
      <c r="F79" s="404" t="n"/>
      <c r="G79" s="420" t="n"/>
      <c r="H79" s="406" t="n"/>
      <c r="I79" s="407" t="n"/>
      <c r="J79" s="408" t="n"/>
      <c r="K79" s="409" t="n"/>
      <c r="L79" s="391" t="n"/>
      <c r="M79" s="399" t="n"/>
      <c r="N79" s="410" t="n"/>
      <c r="O79" s="399" t="n"/>
      <c r="P79" s="411" t="n"/>
      <c r="Q79" s="399" t="n"/>
      <c r="R79" s="412" t="n"/>
      <c r="S79" s="399" t="n"/>
      <c r="T79" s="417" t="n"/>
      <c r="U79" s="391" t="n"/>
      <c r="V79" s="391" t="n"/>
      <c r="W79" s="399" t="n"/>
      <c r="X79" s="217" t="n"/>
      <c r="Y79" s="414">
        <f>G79-H79-I79</f>
        <v/>
      </c>
      <c r="Z79" s="414">
        <f>H79+I79</f>
        <v/>
      </c>
      <c r="AA79" s="414">
        <f>H79*N79</f>
        <v/>
      </c>
      <c r="AB79" s="123" t="n"/>
      <c r="AC79" s="123" t="n"/>
      <c r="AD79" s="123" t="n"/>
      <c r="AE79" s="123" t="n"/>
      <c r="AF79" s="123" t="n"/>
      <c r="AG79" s="123" t="n"/>
      <c r="AH79" s="123" t="n"/>
      <c r="AI79" s="123" t="n"/>
    </row>
    <row r="80" ht="27" customFormat="1" customHeight="1" s="3">
      <c r="A80" s="217" t="n"/>
      <c r="B80" s="418" t="n"/>
      <c r="C80" s="419" t="n"/>
      <c r="D80" s="113" t="n"/>
      <c r="E80" s="403" t="n"/>
      <c r="F80" s="404" t="n"/>
      <c r="G80" s="420" t="n"/>
      <c r="H80" s="406" t="n"/>
      <c r="I80" s="407" t="n"/>
      <c r="J80" s="408" t="n"/>
      <c r="K80" s="409" t="n"/>
      <c r="L80" s="391" t="n"/>
      <c r="M80" s="399" t="n"/>
      <c r="N80" s="410" t="n"/>
      <c r="O80" s="399" t="n"/>
      <c r="P80" s="411" t="n"/>
      <c r="Q80" s="399" t="n"/>
      <c r="R80" s="412" t="n"/>
      <c r="S80" s="399" t="n"/>
      <c r="T80" s="417" t="n"/>
      <c r="U80" s="391" t="n"/>
      <c r="V80" s="391" t="n"/>
      <c r="W80" s="399" t="n"/>
      <c r="X80" s="217" t="n"/>
      <c r="Y80" s="414">
        <f>G80-H80-I80</f>
        <v/>
      </c>
      <c r="Z80" s="414">
        <f>H80+I80</f>
        <v/>
      </c>
      <c r="AA80" s="414">
        <f>H80*N80</f>
        <v/>
      </c>
      <c r="AB80" s="123" t="n"/>
      <c r="AC80" s="123" t="n"/>
      <c r="AD80" s="123" t="n"/>
      <c r="AE80" s="123" t="n"/>
      <c r="AF80" s="123" t="n"/>
      <c r="AG80" s="123" t="n"/>
      <c r="AH80" s="123" t="n"/>
      <c r="AI80" s="123" t="n"/>
    </row>
    <row r="81" ht="27" customFormat="1" customHeight="1" s="3">
      <c r="A81" s="217" t="n"/>
      <c r="B81" s="418" t="n"/>
      <c r="C81" s="419" t="n"/>
      <c r="D81" s="113" t="n"/>
      <c r="E81" s="403" t="n"/>
      <c r="F81" s="404" t="n"/>
      <c r="G81" s="420" t="n"/>
      <c r="H81" s="406" t="n"/>
      <c r="I81" s="407" t="n"/>
      <c r="J81" s="408" t="n"/>
      <c r="K81" s="409" t="n"/>
      <c r="L81" s="391" t="n"/>
      <c r="M81" s="399" t="n"/>
      <c r="N81" s="410" t="n"/>
      <c r="O81" s="399" t="n"/>
      <c r="P81" s="411" t="n"/>
      <c r="Q81" s="399" t="n"/>
      <c r="R81" s="412" t="n"/>
      <c r="S81" s="399" t="n"/>
      <c r="T81" s="417" t="n"/>
      <c r="U81" s="391" t="n"/>
      <c r="V81" s="391" t="n"/>
      <c r="W81" s="399" t="n"/>
      <c r="X81" s="217" t="n"/>
      <c r="Y81" s="414">
        <f>G81-H81-I81</f>
        <v/>
      </c>
      <c r="Z81" s="414">
        <f>H81+I81</f>
        <v/>
      </c>
      <c r="AA81" s="414">
        <f>H81*N81</f>
        <v/>
      </c>
      <c r="AB81" s="123" t="n"/>
      <c r="AC81" s="123" t="n"/>
      <c r="AD81" s="123" t="n"/>
      <c r="AE81" s="123" t="n"/>
      <c r="AF81" s="123" t="n"/>
      <c r="AG81" s="123" t="n"/>
      <c r="AH81" s="123" t="n"/>
      <c r="AI81" s="123" t="n"/>
    </row>
    <row r="82" ht="27" customFormat="1" customHeight="1" s="3">
      <c r="A82" s="217" t="n"/>
      <c r="B82" s="418" t="n"/>
      <c r="C82" s="419" t="n"/>
      <c r="D82" s="113" t="n"/>
      <c r="E82" s="403" t="n"/>
      <c r="F82" s="404" t="n"/>
      <c r="G82" s="420" t="n"/>
      <c r="H82" s="406" t="n"/>
      <c r="I82" s="407" t="n"/>
      <c r="J82" s="408" t="n"/>
      <c r="K82" s="409" t="n"/>
      <c r="L82" s="391" t="n"/>
      <c r="M82" s="399" t="n"/>
      <c r="N82" s="410" t="n"/>
      <c r="O82" s="399" t="n"/>
      <c r="P82" s="411" t="n"/>
      <c r="Q82" s="399" t="n"/>
      <c r="R82" s="412" t="n"/>
      <c r="S82" s="399" t="n"/>
      <c r="T82" s="417" t="n"/>
      <c r="U82" s="391" t="n"/>
      <c r="V82" s="391" t="n"/>
      <c r="W82" s="399" t="n"/>
      <c r="X82" s="217" t="n"/>
      <c r="Y82" s="414">
        <f>G82-H82-I82</f>
        <v/>
      </c>
      <c r="Z82" s="414">
        <f>H82+I82</f>
        <v/>
      </c>
      <c r="AA82" s="414">
        <f>H82*N82</f>
        <v/>
      </c>
      <c r="AB82" s="123" t="n"/>
      <c r="AC82" s="123" t="n"/>
      <c r="AD82" s="123" t="n"/>
      <c r="AE82" s="123" t="n"/>
      <c r="AF82" s="123" t="n"/>
      <c r="AG82" s="123" t="n"/>
      <c r="AH82" s="123" t="n"/>
      <c r="AI82" s="123" t="n"/>
    </row>
    <row r="83" ht="27" customFormat="1" customHeight="1" s="3">
      <c r="A83" s="217" t="n"/>
      <c r="B83" s="418" t="n"/>
      <c r="C83" s="419" t="n"/>
      <c r="D83" s="113" t="n"/>
      <c r="E83" s="403" t="n"/>
      <c r="F83" s="404" t="n"/>
      <c r="G83" s="420" t="n"/>
      <c r="H83" s="406" t="n"/>
      <c r="I83" s="407" t="n"/>
      <c r="J83" s="408" t="n"/>
      <c r="K83" s="409" t="n"/>
      <c r="L83" s="391" t="n"/>
      <c r="M83" s="399" t="n"/>
      <c r="N83" s="410" t="n"/>
      <c r="O83" s="399" t="n"/>
      <c r="P83" s="411" t="n"/>
      <c r="Q83" s="399" t="n"/>
      <c r="R83" s="412" t="n"/>
      <c r="S83" s="399" t="n"/>
      <c r="T83" s="417" t="n"/>
      <c r="U83" s="391" t="n"/>
      <c r="V83" s="391" t="n"/>
      <c r="W83" s="399" t="n"/>
      <c r="X83" s="217" t="n"/>
      <c r="Y83" s="414">
        <f>G83-H83-I83</f>
        <v/>
      </c>
      <c r="Z83" s="414">
        <f>H83+I83</f>
        <v/>
      </c>
      <c r="AA83" s="414">
        <f>H83*N83</f>
        <v/>
      </c>
      <c r="AB83" s="123" t="n"/>
      <c r="AC83" s="123" t="n"/>
      <c r="AD83" s="123" t="n"/>
      <c r="AE83" s="123" t="n"/>
      <c r="AF83" s="123" t="n"/>
      <c r="AG83" s="123" t="n"/>
      <c r="AH83" s="123" t="n"/>
      <c r="AI83" s="123" t="n"/>
    </row>
    <row r="84" ht="27" customFormat="1" customHeight="1" s="3">
      <c r="A84" s="217" t="n"/>
      <c r="B84" s="418" t="n"/>
      <c r="C84" s="419" t="n"/>
      <c r="D84" s="113" t="n"/>
      <c r="E84" s="403" t="n"/>
      <c r="F84" s="404" t="n"/>
      <c r="G84" s="420" t="n"/>
      <c r="H84" s="406" t="n"/>
      <c r="I84" s="407" t="n"/>
      <c r="J84" s="408" t="n"/>
      <c r="K84" s="409" t="n"/>
      <c r="L84" s="391" t="n"/>
      <c r="M84" s="399" t="n"/>
      <c r="N84" s="410" t="n"/>
      <c r="O84" s="399" t="n"/>
      <c r="P84" s="411" t="n"/>
      <c r="Q84" s="399" t="n"/>
      <c r="R84" s="412" t="n"/>
      <c r="S84" s="399" t="n"/>
      <c r="T84" s="417" t="n"/>
      <c r="U84" s="391" t="n"/>
      <c r="V84" s="391" t="n"/>
      <c r="W84" s="399" t="n"/>
      <c r="X84" s="217" t="n"/>
      <c r="Y84" s="414">
        <f>G84-H84-I84</f>
        <v/>
      </c>
      <c r="Z84" s="414">
        <f>H84+I84</f>
        <v/>
      </c>
      <c r="AA84" s="414">
        <f>H84*N84</f>
        <v/>
      </c>
      <c r="AB84" s="123" t="n"/>
      <c r="AC84" s="123" t="n"/>
      <c r="AD84" s="123" t="n"/>
      <c r="AE84" s="123" t="n"/>
      <c r="AF84" s="123" t="n"/>
      <c r="AG84" s="123" t="n"/>
      <c r="AH84" s="123" t="n"/>
      <c r="AI84" s="123" t="n"/>
    </row>
    <row r="85" ht="27" customFormat="1" customHeight="1" s="3">
      <c r="A85" s="217" t="n"/>
      <c r="B85" s="418" t="n"/>
      <c r="C85" s="419" t="n"/>
      <c r="D85" s="113" t="n"/>
      <c r="E85" s="403" t="n"/>
      <c r="F85" s="404" t="n"/>
      <c r="G85" s="420" t="n"/>
      <c r="H85" s="406" t="n"/>
      <c r="I85" s="407" t="n"/>
      <c r="J85" s="408" t="n"/>
      <c r="K85" s="409" t="n"/>
      <c r="L85" s="391" t="n"/>
      <c r="M85" s="399" t="n"/>
      <c r="N85" s="410" t="n"/>
      <c r="O85" s="399" t="n"/>
      <c r="P85" s="411" t="n"/>
      <c r="Q85" s="399" t="n"/>
      <c r="R85" s="412" t="n"/>
      <c r="S85" s="399" t="n"/>
      <c r="T85" s="417" t="n"/>
      <c r="U85" s="391" t="n"/>
      <c r="V85" s="391" t="n"/>
      <c r="W85" s="399" t="n"/>
      <c r="X85" s="217" t="n"/>
      <c r="Y85" s="414">
        <f>G85-H85-I85</f>
        <v/>
      </c>
      <c r="Z85" s="414">
        <f>H85+I85</f>
        <v/>
      </c>
      <c r="AA85" s="414">
        <f>H85*N85</f>
        <v/>
      </c>
      <c r="AB85" s="123" t="n"/>
      <c r="AC85" s="123" t="n"/>
      <c r="AD85" s="123" t="n"/>
      <c r="AE85" s="123" t="n"/>
      <c r="AF85" s="123" t="n"/>
      <c r="AG85" s="123" t="n"/>
      <c r="AH85" s="123" t="n"/>
      <c r="AI85" s="123" t="n"/>
    </row>
    <row r="86" ht="27" customFormat="1" customHeight="1" s="3">
      <c r="A86" s="217" t="n"/>
      <c r="B86" s="418" t="n"/>
      <c r="C86" s="419" t="n"/>
      <c r="D86" s="113" t="n"/>
      <c r="E86" s="403" t="n"/>
      <c r="F86" s="404" t="n"/>
      <c r="G86" s="420" t="n"/>
      <c r="H86" s="406" t="n"/>
      <c r="I86" s="407" t="n"/>
      <c r="J86" s="408" t="n"/>
      <c r="K86" s="409" t="n"/>
      <c r="L86" s="391" t="n"/>
      <c r="M86" s="399" t="n"/>
      <c r="N86" s="410" t="n"/>
      <c r="O86" s="399" t="n"/>
      <c r="P86" s="411" t="n"/>
      <c r="Q86" s="399" t="n"/>
      <c r="R86" s="412" t="n"/>
      <c r="S86" s="399" t="n"/>
      <c r="T86" s="417" t="n"/>
      <c r="U86" s="391" t="n"/>
      <c r="V86" s="391" t="n"/>
      <c r="W86" s="399" t="n"/>
      <c r="X86" s="217" t="n"/>
      <c r="Y86" s="414">
        <f>G86-H86-I86</f>
        <v/>
      </c>
      <c r="Z86" s="414">
        <f>H86+I86</f>
        <v/>
      </c>
      <c r="AA86" s="414">
        <f>H86*N86</f>
        <v/>
      </c>
      <c r="AB86" s="123" t="n"/>
      <c r="AC86" s="123" t="n"/>
      <c r="AD86" s="123" t="n"/>
      <c r="AE86" s="123" t="n"/>
      <c r="AF86" s="123" t="n"/>
      <c r="AG86" s="123" t="n"/>
      <c r="AH86" s="123" t="n"/>
      <c r="AI86" s="123" t="n"/>
    </row>
    <row r="87" ht="27" customFormat="1" customHeight="1" s="3">
      <c r="A87" s="217" t="n"/>
      <c r="B87" s="418" t="n"/>
      <c r="C87" s="419" t="n"/>
      <c r="D87" s="113" t="n"/>
      <c r="E87" s="403" t="n"/>
      <c r="F87" s="404" t="n"/>
      <c r="G87" s="420" t="n"/>
      <c r="H87" s="406" t="n"/>
      <c r="I87" s="407" t="n"/>
      <c r="J87" s="408" t="n"/>
      <c r="K87" s="409" t="n"/>
      <c r="L87" s="391" t="n"/>
      <c r="M87" s="399" t="n"/>
      <c r="N87" s="410" t="n"/>
      <c r="O87" s="399" t="n"/>
      <c r="P87" s="411" t="n"/>
      <c r="Q87" s="399" t="n"/>
      <c r="R87" s="412" t="n"/>
      <c r="S87" s="399" t="n"/>
      <c r="T87" s="417" t="n"/>
      <c r="U87" s="391" t="n"/>
      <c r="V87" s="391" t="n"/>
      <c r="W87" s="399" t="n"/>
      <c r="X87" s="217" t="n"/>
      <c r="Y87" s="414">
        <f>G87-H87-I87</f>
        <v/>
      </c>
      <c r="Z87" s="414">
        <f>H87+I87</f>
        <v/>
      </c>
      <c r="AA87" s="414">
        <f>H87*N87</f>
        <v/>
      </c>
      <c r="AB87" s="123" t="n"/>
      <c r="AC87" s="123" t="n"/>
      <c r="AD87" s="123" t="n"/>
      <c r="AE87" s="123" t="n"/>
      <c r="AF87" s="123" t="n"/>
      <c r="AG87" s="123" t="n"/>
      <c r="AH87" s="123" t="n"/>
      <c r="AI87" s="123" t="n"/>
    </row>
    <row r="88" ht="27" customFormat="1" customHeight="1" s="3">
      <c r="A88" s="217" t="n"/>
      <c r="B88" s="418" t="n"/>
      <c r="C88" s="419" t="n"/>
      <c r="D88" s="113" t="n"/>
      <c r="E88" s="403" t="n"/>
      <c r="F88" s="404" t="n"/>
      <c r="G88" s="420" t="n"/>
      <c r="H88" s="406" t="n"/>
      <c r="I88" s="407" t="n"/>
      <c r="J88" s="408" t="n"/>
      <c r="K88" s="409" t="n"/>
      <c r="L88" s="391" t="n"/>
      <c r="M88" s="399" t="n"/>
      <c r="N88" s="410" t="n"/>
      <c r="O88" s="399" t="n"/>
      <c r="P88" s="411" t="n"/>
      <c r="Q88" s="399" t="n"/>
      <c r="R88" s="412" t="n"/>
      <c r="S88" s="399" t="n"/>
      <c r="T88" s="417" t="n"/>
      <c r="U88" s="391" t="n"/>
      <c r="V88" s="391" t="n"/>
      <c r="W88" s="399" t="n"/>
      <c r="X88" s="217" t="n"/>
      <c r="Y88" s="414">
        <f>G88-H88-I88</f>
        <v/>
      </c>
      <c r="Z88" s="414">
        <f>H88+I88</f>
        <v/>
      </c>
      <c r="AA88" s="414">
        <f>H88*N88</f>
        <v/>
      </c>
      <c r="AB88" s="123" t="n"/>
      <c r="AC88" s="123" t="n"/>
      <c r="AD88" s="123" t="n"/>
      <c r="AE88" s="123" t="n"/>
      <c r="AF88" s="123" t="n"/>
      <c r="AG88" s="123" t="n"/>
      <c r="AH88" s="123" t="n"/>
      <c r="AI88" s="123" t="n"/>
    </row>
    <row r="89" ht="27" customFormat="1" customHeight="1" s="3">
      <c r="A89" s="217" t="n"/>
      <c r="B89" s="418" t="n"/>
      <c r="C89" s="419" t="n"/>
      <c r="D89" s="113" t="n"/>
      <c r="E89" s="403" t="n"/>
      <c r="F89" s="404" t="n"/>
      <c r="G89" s="420" t="n"/>
      <c r="H89" s="406" t="n"/>
      <c r="I89" s="407" t="n"/>
      <c r="J89" s="408" t="n"/>
      <c r="K89" s="409" t="n"/>
      <c r="L89" s="391" t="n"/>
      <c r="M89" s="399" t="n"/>
      <c r="N89" s="410" t="n"/>
      <c r="O89" s="399" t="n"/>
      <c r="P89" s="411" t="n"/>
      <c r="Q89" s="399" t="n"/>
      <c r="R89" s="412" t="n"/>
      <c r="S89" s="399" t="n"/>
      <c r="T89" s="417" t="n"/>
      <c r="U89" s="391" t="n"/>
      <c r="V89" s="391" t="n"/>
      <c r="W89" s="399" t="n"/>
      <c r="X89" s="217" t="n"/>
      <c r="Y89" s="414">
        <f>G89-H89-I89</f>
        <v/>
      </c>
      <c r="Z89" s="414">
        <f>H89+I89</f>
        <v/>
      </c>
      <c r="AA89" s="414">
        <f>H89*N89</f>
        <v/>
      </c>
      <c r="AB89" s="123" t="n"/>
      <c r="AC89" s="123" t="n"/>
      <c r="AD89" s="123" t="n"/>
      <c r="AE89" s="123" t="n"/>
      <c r="AF89" s="123" t="n"/>
      <c r="AG89" s="123" t="n"/>
      <c r="AH89" s="123" t="n"/>
      <c r="AI89" s="123" t="n"/>
    </row>
    <row r="90" ht="27" customFormat="1" customHeight="1" s="3">
      <c r="A90" s="217" t="n"/>
      <c r="B90" s="418" t="n"/>
      <c r="C90" s="419" t="n"/>
      <c r="D90" s="113" t="n"/>
      <c r="E90" s="403" t="n"/>
      <c r="F90" s="404" t="n"/>
      <c r="G90" s="420" t="n"/>
      <c r="H90" s="406" t="n"/>
      <c r="I90" s="407" t="n"/>
      <c r="J90" s="408" t="n"/>
      <c r="K90" s="409" t="n"/>
      <c r="L90" s="391" t="n"/>
      <c r="M90" s="399" t="n"/>
      <c r="N90" s="410" t="n"/>
      <c r="O90" s="399" t="n"/>
      <c r="P90" s="411" t="n"/>
      <c r="Q90" s="399" t="n"/>
      <c r="R90" s="412" t="n"/>
      <c r="S90" s="399" t="n"/>
      <c r="T90" s="417" t="n"/>
      <c r="U90" s="391" t="n"/>
      <c r="V90" s="391" t="n"/>
      <c r="W90" s="399" t="n"/>
      <c r="X90" s="217" t="n"/>
      <c r="Y90" s="414">
        <f>G90-H90-I90</f>
        <v/>
      </c>
      <c r="Z90" s="414">
        <f>H90+I90</f>
        <v/>
      </c>
      <c r="AA90" s="414">
        <f>H90*N90</f>
        <v/>
      </c>
      <c r="AB90" s="123" t="n"/>
      <c r="AC90" s="123" t="n"/>
      <c r="AD90" s="123" t="n"/>
      <c r="AE90" s="123" t="n"/>
      <c r="AF90" s="123" t="n"/>
      <c r="AG90" s="123" t="n"/>
      <c r="AH90" s="123" t="n"/>
      <c r="AI90" s="123" t="n"/>
    </row>
    <row r="91" ht="27" customFormat="1" customHeight="1" s="3">
      <c r="A91" s="217" t="n"/>
      <c r="B91" s="418" t="n"/>
      <c r="C91" s="419" t="n"/>
      <c r="D91" s="113" t="n"/>
      <c r="E91" s="403" t="n"/>
      <c r="F91" s="404" t="n"/>
      <c r="G91" s="420" t="n"/>
      <c r="H91" s="406" t="n"/>
      <c r="I91" s="407" t="n"/>
      <c r="J91" s="408" t="n"/>
      <c r="K91" s="409" t="n"/>
      <c r="L91" s="391" t="n"/>
      <c r="M91" s="399" t="n"/>
      <c r="N91" s="410" t="n"/>
      <c r="O91" s="399" t="n"/>
      <c r="P91" s="411" t="n"/>
      <c r="Q91" s="399" t="n"/>
      <c r="R91" s="412" t="n"/>
      <c r="S91" s="399" t="n"/>
      <c r="T91" s="417" t="n"/>
      <c r="U91" s="391" t="n"/>
      <c r="V91" s="391" t="n"/>
      <c r="W91" s="399" t="n"/>
      <c r="X91" s="217" t="n"/>
      <c r="Y91" s="414">
        <f>G91-H91-I91</f>
        <v/>
      </c>
      <c r="Z91" s="414">
        <f>H91+I91</f>
        <v/>
      </c>
      <c r="AA91" s="414">
        <f>H91*N91</f>
        <v/>
      </c>
      <c r="AB91" s="123" t="n"/>
      <c r="AC91" s="123" t="n"/>
      <c r="AD91" s="123" t="n"/>
      <c r="AE91" s="123" t="n"/>
      <c r="AF91" s="123" t="n"/>
      <c r="AG91" s="123" t="n"/>
      <c r="AH91" s="123" t="n"/>
      <c r="AI91" s="123" t="n"/>
    </row>
    <row r="92" ht="27" customFormat="1" customHeight="1" s="3">
      <c r="A92" s="217" t="n"/>
      <c r="B92" s="418" t="n"/>
      <c r="C92" s="419" t="n"/>
      <c r="D92" s="113" t="n"/>
      <c r="E92" s="403" t="n"/>
      <c r="F92" s="404" t="n"/>
      <c r="G92" s="420" t="n"/>
      <c r="H92" s="406" t="n"/>
      <c r="I92" s="407" t="n"/>
      <c r="J92" s="408" t="n"/>
      <c r="K92" s="409" t="n"/>
      <c r="L92" s="391" t="n"/>
      <c r="M92" s="399" t="n"/>
      <c r="N92" s="410" t="n"/>
      <c r="O92" s="399" t="n"/>
      <c r="P92" s="411" t="n"/>
      <c r="Q92" s="399" t="n"/>
      <c r="R92" s="412" t="n"/>
      <c r="S92" s="399" t="n"/>
      <c r="T92" s="417" t="n"/>
      <c r="U92" s="391" t="n"/>
      <c r="V92" s="391" t="n"/>
      <c r="W92" s="399" t="n"/>
      <c r="X92" s="217" t="n"/>
      <c r="Y92" s="414">
        <f>G92-H92-I92</f>
        <v/>
      </c>
      <c r="Z92" s="414">
        <f>H92+I92</f>
        <v/>
      </c>
      <c r="AA92" s="414">
        <f>H92*N92</f>
        <v/>
      </c>
      <c r="AB92" s="123" t="n"/>
      <c r="AC92" s="123" t="n"/>
      <c r="AD92" s="123" t="n"/>
      <c r="AE92" s="123" t="n"/>
      <c r="AF92" s="123" t="n"/>
      <c r="AG92" s="123" t="n"/>
      <c r="AH92" s="123" t="n"/>
      <c r="AI92" s="123" t="n"/>
    </row>
    <row r="93" ht="27" customFormat="1" customHeight="1" s="3">
      <c r="A93" s="217" t="n"/>
      <c r="B93" s="418" t="n"/>
      <c r="C93" s="419" t="n"/>
      <c r="D93" s="113" t="n"/>
      <c r="E93" s="403" t="n"/>
      <c r="F93" s="404" t="n"/>
      <c r="G93" s="420" t="n"/>
      <c r="H93" s="406" t="n"/>
      <c r="I93" s="407" t="n"/>
      <c r="J93" s="408" t="n"/>
      <c r="K93" s="409" t="n"/>
      <c r="L93" s="391" t="n"/>
      <c r="M93" s="399" t="n"/>
      <c r="N93" s="410" t="n"/>
      <c r="O93" s="399" t="n"/>
      <c r="P93" s="411" t="n"/>
      <c r="Q93" s="399" t="n"/>
      <c r="R93" s="412" t="n"/>
      <c r="S93" s="399" t="n"/>
      <c r="T93" s="417" t="n"/>
      <c r="U93" s="391" t="n"/>
      <c r="V93" s="391" t="n"/>
      <c r="W93" s="399" t="n"/>
      <c r="X93" s="217" t="n"/>
      <c r="Y93" s="414">
        <f>G93-H93-I93</f>
        <v/>
      </c>
      <c r="Z93" s="414">
        <f>H93+I93</f>
        <v/>
      </c>
      <c r="AA93" s="414">
        <f>H93*N93</f>
        <v/>
      </c>
      <c r="AB93" s="123" t="n"/>
      <c r="AC93" s="123" t="n"/>
      <c r="AD93" s="123" t="n"/>
      <c r="AE93" s="123" t="n"/>
      <c r="AF93" s="123" t="n"/>
      <c r="AG93" s="123" t="n"/>
      <c r="AH93" s="123" t="n"/>
      <c r="AI93" s="123" t="n"/>
    </row>
    <row r="94" ht="27" customFormat="1" customHeight="1" s="3">
      <c r="A94" s="217" t="n"/>
      <c r="B94" s="418" t="n"/>
      <c r="C94" s="419" t="n"/>
      <c r="D94" s="113" t="n"/>
      <c r="E94" s="403" t="n"/>
      <c r="F94" s="404" t="n"/>
      <c r="G94" s="420" t="n"/>
      <c r="H94" s="406" t="n"/>
      <c r="I94" s="407" t="n"/>
      <c r="J94" s="408" t="n"/>
      <c r="K94" s="409" t="n"/>
      <c r="L94" s="391" t="n"/>
      <c r="M94" s="399" t="n"/>
      <c r="N94" s="410" t="n"/>
      <c r="O94" s="399" t="n"/>
      <c r="P94" s="411" t="n"/>
      <c r="Q94" s="399" t="n"/>
      <c r="R94" s="412" t="n"/>
      <c r="S94" s="399" t="n"/>
      <c r="T94" s="417" t="n"/>
      <c r="U94" s="391" t="n"/>
      <c r="V94" s="391" t="n"/>
      <c r="W94" s="399" t="n"/>
      <c r="X94" s="217" t="n"/>
      <c r="Y94" s="414">
        <f>G94-H94-I94</f>
        <v/>
      </c>
      <c r="Z94" s="414">
        <f>H94+I94</f>
        <v/>
      </c>
      <c r="AA94" s="414">
        <f>H94*N94</f>
        <v/>
      </c>
      <c r="AB94" s="123" t="n"/>
      <c r="AC94" s="123" t="n"/>
      <c r="AD94" s="123" t="n"/>
      <c r="AE94" s="123" t="n"/>
      <c r="AF94" s="123" t="n"/>
      <c r="AG94" s="123" t="n"/>
      <c r="AH94" s="123" t="n"/>
      <c r="AI94" s="123" t="n"/>
    </row>
    <row r="95" ht="27" customFormat="1" customHeight="1" s="3">
      <c r="A95" s="217" t="n"/>
      <c r="B95" s="418" t="n"/>
      <c r="C95" s="419" t="n"/>
      <c r="D95" s="113" t="n"/>
      <c r="E95" s="403" t="n"/>
      <c r="F95" s="404" t="n"/>
      <c r="G95" s="420" t="n"/>
      <c r="H95" s="406" t="n"/>
      <c r="I95" s="407" t="n"/>
      <c r="J95" s="408" t="n"/>
      <c r="K95" s="409" t="n"/>
      <c r="L95" s="391" t="n"/>
      <c r="M95" s="399" t="n"/>
      <c r="N95" s="410" t="n"/>
      <c r="O95" s="399" t="n"/>
      <c r="P95" s="411" t="n"/>
      <c r="Q95" s="399" t="n"/>
      <c r="R95" s="412" t="n"/>
      <c r="S95" s="399" t="n"/>
      <c r="T95" s="417" t="n"/>
      <c r="U95" s="391" t="n"/>
      <c r="V95" s="391" t="n"/>
      <c r="W95" s="399" t="n"/>
      <c r="X95" s="217" t="n"/>
      <c r="Y95" s="414">
        <f>G95-H95-I95</f>
        <v/>
      </c>
      <c r="Z95" s="414">
        <f>H95+I95</f>
        <v/>
      </c>
      <c r="AA95" s="414">
        <f>H95*N95</f>
        <v/>
      </c>
      <c r="AB95" s="123" t="n"/>
      <c r="AC95" s="123" t="n"/>
      <c r="AD95" s="123" t="n"/>
      <c r="AE95" s="123" t="n"/>
      <c r="AF95" s="123" t="n"/>
      <c r="AG95" s="123" t="n"/>
      <c r="AH95" s="123" t="n"/>
      <c r="AI95" s="123" t="n"/>
    </row>
    <row r="96" ht="27" customFormat="1" customHeight="1" s="3">
      <c r="A96" s="217" t="n"/>
      <c r="B96" s="418" t="n"/>
      <c r="C96" s="419" t="n"/>
      <c r="D96" s="113" t="n"/>
      <c r="E96" s="403" t="n"/>
      <c r="F96" s="404" t="n"/>
      <c r="G96" s="420" t="n"/>
      <c r="H96" s="406" t="n"/>
      <c r="I96" s="407" t="n"/>
      <c r="J96" s="408" t="n"/>
      <c r="K96" s="409" t="n"/>
      <c r="L96" s="391" t="n"/>
      <c r="M96" s="399" t="n"/>
      <c r="N96" s="410" t="n"/>
      <c r="O96" s="399" t="n"/>
      <c r="P96" s="411" t="n"/>
      <c r="Q96" s="399" t="n"/>
      <c r="R96" s="412" t="n"/>
      <c r="S96" s="399" t="n"/>
      <c r="T96" s="417" t="n"/>
      <c r="U96" s="391" t="n"/>
      <c r="V96" s="391" t="n"/>
      <c r="W96" s="399" t="n"/>
      <c r="X96" s="217" t="n"/>
      <c r="Y96" s="414">
        <f>G96-H96-I96</f>
        <v/>
      </c>
      <c r="Z96" s="414">
        <f>H96+I96</f>
        <v/>
      </c>
      <c r="AA96" s="414">
        <f>H96*N96</f>
        <v/>
      </c>
      <c r="AB96" s="123" t="n"/>
      <c r="AC96" s="123" t="n"/>
      <c r="AD96" s="123" t="n"/>
      <c r="AE96" s="123" t="n"/>
      <c r="AF96" s="123" t="n"/>
      <c r="AG96" s="123" t="n"/>
      <c r="AH96" s="123" t="n"/>
      <c r="AI96" s="123" t="n"/>
    </row>
    <row r="97" ht="27" customFormat="1" customHeight="1" s="3">
      <c r="A97" s="217" t="n"/>
      <c r="B97" s="418" t="n"/>
      <c r="C97" s="419" t="n"/>
      <c r="D97" s="113" t="n"/>
      <c r="E97" s="403" t="n"/>
      <c r="F97" s="404" t="n"/>
      <c r="G97" s="420" t="n"/>
      <c r="H97" s="406" t="n"/>
      <c r="I97" s="407" t="n"/>
      <c r="J97" s="408" t="n"/>
      <c r="K97" s="409" t="n"/>
      <c r="L97" s="391" t="n"/>
      <c r="M97" s="399" t="n"/>
      <c r="N97" s="410" t="n"/>
      <c r="O97" s="399" t="n"/>
      <c r="P97" s="411" t="n"/>
      <c r="Q97" s="399" t="n"/>
      <c r="R97" s="412" t="n"/>
      <c r="S97" s="399" t="n"/>
      <c r="T97" s="417" t="n"/>
      <c r="U97" s="391" t="n"/>
      <c r="V97" s="391" t="n"/>
      <c r="W97" s="399" t="n"/>
      <c r="X97" s="217" t="n"/>
      <c r="Y97" s="414">
        <f>G97-H97-I97</f>
        <v/>
      </c>
      <c r="Z97" s="414">
        <f>H97+I97</f>
        <v/>
      </c>
      <c r="AA97" s="414">
        <f>H97*N97</f>
        <v/>
      </c>
      <c r="AB97" s="123" t="n"/>
      <c r="AC97" s="123" t="n"/>
      <c r="AD97" s="123" t="n"/>
      <c r="AE97" s="123" t="n"/>
      <c r="AF97" s="123" t="n"/>
      <c r="AG97" s="123" t="n"/>
      <c r="AH97" s="123" t="n"/>
      <c r="AI97" s="123" t="n"/>
    </row>
    <row r="98" ht="27" customFormat="1" customHeight="1" s="3">
      <c r="A98" s="217" t="n"/>
      <c r="B98" s="418" t="n"/>
      <c r="C98" s="419" t="n"/>
      <c r="D98" s="113" t="n"/>
      <c r="E98" s="403" t="n"/>
      <c r="F98" s="404" t="n"/>
      <c r="G98" s="420" t="n"/>
      <c r="H98" s="406" t="n"/>
      <c r="I98" s="407" t="n"/>
      <c r="J98" s="408" t="n"/>
      <c r="K98" s="409" t="n"/>
      <c r="L98" s="391" t="n"/>
      <c r="M98" s="399" t="n"/>
      <c r="N98" s="410" t="n"/>
      <c r="O98" s="399" t="n"/>
      <c r="P98" s="411" t="n"/>
      <c r="Q98" s="399" t="n"/>
      <c r="R98" s="412" t="n"/>
      <c r="S98" s="399" t="n"/>
      <c r="T98" s="417" t="n"/>
      <c r="U98" s="391" t="n"/>
      <c r="V98" s="391" t="n"/>
      <c r="W98" s="399" t="n"/>
      <c r="X98" s="217" t="n"/>
      <c r="Y98" s="414">
        <f>G98-H98-I98</f>
        <v/>
      </c>
      <c r="Z98" s="414">
        <f>H98+I98</f>
        <v/>
      </c>
      <c r="AA98" s="414">
        <f>H98*N98</f>
        <v/>
      </c>
      <c r="AB98" s="123" t="n"/>
      <c r="AC98" s="123" t="n"/>
      <c r="AD98" s="123" t="n"/>
      <c r="AE98" s="123" t="n"/>
      <c r="AF98" s="123" t="n"/>
      <c r="AG98" s="123" t="n"/>
      <c r="AH98" s="123" t="n"/>
      <c r="AI98" s="123" t="n"/>
    </row>
    <row r="99" ht="27" customFormat="1" customHeight="1" s="3">
      <c r="A99" s="217" t="n"/>
      <c r="B99" s="418" t="n"/>
      <c r="C99" s="419" t="n"/>
      <c r="D99" s="113" t="n"/>
      <c r="E99" s="403" t="n"/>
      <c r="F99" s="404" t="n"/>
      <c r="G99" s="420" t="n"/>
      <c r="H99" s="406" t="n"/>
      <c r="I99" s="407" t="n"/>
      <c r="J99" s="408" t="n"/>
      <c r="K99" s="409" t="n"/>
      <c r="L99" s="391" t="n"/>
      <c r="M99" s="399" t="n"/>
      <c r="N99" s="410" t="n"/>
      <c r="O99" s="399" t="n"/>
      <c r="P99" s="411" t="n"/>
      <c r="Q99" s="399" t="n"/>
      <c r="R99" s="412" t="n"/>
      <c r="S99" s="399" t="n"/>
      <c r="T99" s="417" t="n"/>
      <c r="U99" s="391" t="n"/>
      <c r="V99" s="391" t="n"/>
      <c r="W99" s="399" t="n"/>
      <c r="X99" s="217" t="n"/>
      <c r="Y99" s="414">
        <f>G99-H99-I99</f>
        <v/>
      </c>
      <c r="Z99" s="414">
        <f>H99+I99</f>
        <v/>
      </c>
      <c r="AA99" s="414">
        <f>H99*N99</f>
        <v/>
      </c>
      <c r="AB99" s="123" t="n"/>
      <c r="AC99" s="123" t="n"/>
      <c r="AD99" s="123" t="n"/>
      <c r="AE99" s="123" t="n"/>
      <c r="AF99" s="123" t="n"/>
      <c r="AG99" s="123" t="n"/>
      <c r="AH99" s="123" t="n"/>
      <c r="AI99" s="123" t="n"/>
    </row>
    <row r="100" ht="27" customFormat="1" customHeight="1" s="3">
      <c r="A100" s="217" t="n"/>
      <c r="B100" s="418" t="n"/>
      <c r="C100" s="419" t="n"/>
      <c r="D100" s="113" t="n"/>
      <c r="E100" s="403" t="n"/>
      <c r="F100" s="404" t="n"/>
      <c r="G100" s="420" t="n"/>
      <c r="H100" s="406" t="n"/>
      <c r="I100" s="407" t="n"/>
      <c r="J100" s="408" t="n"/>
      <c r="K100" s="409" t="n"/>
      <c r="L100" s="391" t="n"/>
      <c r="M100" s="399" t="n"/>
      <c r="N100" s="410" t="n"/>
      <c r="O100" s="399" t="n"/>
      <c r="P100" s="411" t="n"/>
      <c r="Q100" s="399" t="n"/>
      <c r="R100" s="412" t="n"/>
      <c r="S100" s="399" t="n"/>
      <c r="T100" s="417" t="n"/>
      <c r="U100" s="391" t="n"/>
      <c r="V100" s="391" t="n"/>
      <c r="W100" s="399" t="n"/>
      <c r="X100" s="217" t="n"/>
      <c r="Y100" s="414">
        <f>G100-H100-I100</f>
        <v/>
      </c>
      <c r="Z100" s="414">
        <f>H100+I100</f>
        <v/>
      </c>
      <c r="AA100" s="414">
        <f>H100*N100</f>
        <v/>
      </c>
      <c r="AB100" s="123" t="n"/>
      <c r="AC100" s="123" t="n"/>
      <c r="AD100" s="123" t="n"/>
      <c r="AE100" s="123" t="n"/>
      <c r="AF100" s="123" t="n"/>
      <c r="AG100" s="123" t="n"/>
      <c r="AH100" s="123" t="n"/>
      <c r="AI100" s="123" t="n"/>
    </row>
    <row r="101" ht="27" customFormat="1" customHeight="1" s="3">
      <c r="A101" s="217" t="n"/>
      <c r="B101" s="418" t="n"/>
      <c r="C101" s="419" t="n"/>
      <c r="D101" s="113" t="n"/>
      <c r="E101" s="403" t="n"/>
      <c r="F101" s="404" t="n"/>
      <c r="G101" s="420" t="n"/>
      <c r="H101" s="406" t="n"/>
      <c r="I101" s="407" t="n"/>
      <c r="J101" s="408" t="n"/>
      <c r="K101" s="409" t="n"/>
      <c r="L101" s="391" t="n"/>
      <c r="M101" s="399" t="n"/>
      <c r="N101" s="410" t="n"/>
      <c r="O101" s="399" t="n"/>
      <c r="P101" s="411" t="n"/>
      <c r="Q101" s="399" t="n"/>
      <c r="R101" s="412" t="n"/>
      <c r="S101" s="399" t="n"/>
      <c r="T101" s="417" t="n"/>
      <c r="U101" s="391" t="n"/>
      <c r="V101" s="391" t="n"/>
      <c r="W101" s="399" t="n"/>
      <c r="X101" s="217" t="n"/>
      <c r="Y101" s="414">
        <f>G101-H101-I101</f>
        <v/>
      </c>
      <c r="Z101" s="414">
        <f>H101+I101</f>
        <v/>
      </c>
      <c r="AA101" s="414">
        <f>H101*N101</f>
        <v/>
      </c>
      <c r="AB101" s="123" t="n"/>
      <c r="AC101" s="123" t="n"/>
      <c r="AD101" s="123" t="n"/>
      <c r="AE101" s="123" t="n"/>
      <c r="AF101" s="123" t="n"/>
      <c r="AG101" s="123" t="n"/>
      <c r="AH101" s="123" t="n"/>
      <c r="AI101" s="123" t="n"/>
    </row>
    <row r="102" ht="27" customFormat="1" customHeight="1" s="3">
      <c r="A102" s="217" t="n"/>
      <c r="B102" s="418" t="n"/>
      <c r="C102" s="419" t="n"/>
      <c r="D102" s="113" t="n"/>
      <c r="E102" s="403" t="n"/>
      <c r="F102" s="404" t="n"/>
      <c r="G102" s="420" t="n"/>
      <c r="H102" s="406" t="n"/>
      <c r="I102" s="407" t="n"/>
      <c r="J102" s="408" t="n"/>
      <c r="K102" s="409" t="n"/>
      <c r="L102" s="391" t="n"/>
      <c r="M102" s="399" t="n"/>
      <c r="N102" s="410" t="n"/>
      <c r="O102" s="399" t="n"/>
      <c r="P102" s="411" t="n"/>
      <c r="Q102" s="399" t="n"/>
      <c r="R102" s="412" t="n"/>
      <c r="S102" s="399" t="n"/>
      <c r="T102" s="417" t="n"/>
      <c r="U102" s="391" t="n"/>
      <c r="V102" s="391" t="n"/>
      <c r="W102" s="399" t="n"/>
      <c r="X102" s="217" t="n"/>
      <c r="Y102" s="414">
        <f>G102-H102-I102</f>
        <v/>
      </c>
      <c r="Z102" s="414">
        <f>H102+I102</f>
        <v/>
      </c>
      <c r="AA102" s="414">
        <f>H102*N102</f>
        <v/>
      </c>
      <c r="AB102" s="123" t="n"/>
      <c r="AC102" s="123" t="n"/>
      <c r="AD102" s="123" t="n"/>
      <c r="AE102" s="123" t="n"/>
      <c r="AF102" s="123" t="n"/>
      <c r="AG102" s="123" t="n"/>
      <c r="AH102" s="123" t="n"/>
      <c r="AI102" s="123" t="n"/>
    </row>
    <row r="103" ht="27" customFormat="1" customHeight="1" s="3">
      <c r="A103" s="217" t="n"/>
      <c r="B103" s="418" t="n"/>
      <c r="C103" s="419" t="n"/>
      <c r="D103" s="113" t="n"/>
      <c r="E103" s="403" t="n"/>
      <c r="F103" s="404" t="n"/>
      <c r="G103" s="420" t="n"/>
      <c r="H103" s="406" t="n"/>
      <c r="I103" s="407" t="n"/>
      <c r="J103" s="408" t="n"/>
      <c r="K103" s="409" t="n"/>
      <c r="L103" s="391" t="n"/>
      <c r="M103" s="399" t="n"/>
      <c r="N103" s="410" t="n"/>
      <c r="O103" s="399" t="n"/>
      <c r="P103" s="411" t="n"/>
      <c r="Q103" s="399" t="n"/>
      <c r="R103" s="412" t="n"/>
      <c r="S103" s="399" t="n"/>
      <c r="T103" s="417" t="n"/>
      <c r="U103" s="391" t="n"/>
      <c r="V103" s="391" t="n"/>
      <c r="W103" s="399" t="n"/>
      <c r="X103" s="217" t="n"/>
      <c r="Y103" s="414">
        <f>G103-H103-I103</f>
        <v/>
      </c>
      <c r="Z103" s="414">
        <f>H103+I103</f>
        <v/>
      </c>
      <c r="AA103" s="414">
        <f>H103*N103</f>
        <v/>
      </c>
      <c r="AB103" s="123" t="n"/>
      <c r="AC103" s="123" t="n"/>
      <c r="AD103" s="123" t="n"/>
      <c r="AE103" s="123" t="n"/>
      <c r="AF103" s="123" t="n"/>
      <c r="AG103" s="123" t="n"/>
      <c r="AH103" s="123" t="n"/>
      <c r="AI103" s="123" t="n"/>
    </row>
    <row r="104" ht="27" customFormat="1" customHeight="1" s="3">
      <c r="A104" s="217" t="n"/>
      <c r="B104" s="418" t="n"/>
      <c r="C104" s="419" t="n"/>
      <c r="D104" s="113" t="n"/>
      <c r="E104" s="403" t="n"/>
      <c r="F104" s="404" t="n"/>
      <c r="G104" s="420" t="n"/>
      <c r="H104" s="406" t="n"/>
      <c r="I104" s="407" t="n"/>
      <c r="J104" s="408" t="n"/>
      <c r="K104" s="409" t="n"/>
      <c r="L104" s="391" t="n"/>
      <c r="M104" s="399" t="n"/>
      <c r="N104" s="410" t="n"/>
      <c r="O104" s="399" t="n"/>
      <c r="P104" s="411" t="n"/>
      <c r="Q104" s="399" t="n"/>
      <c r="R104" s="412" t="n"/>
      <c r="S104" s="399" t="n"/>
      <c r="T104" s="417" t="n"/>
      <c r="U104" s="391" t="n"/>
      <c r="V104" s="391" t="n"/>
      <c r="W104" s="399" t="n"/>
      <c r="X104" s="217" t="n"/>
      <c r="Y104" s="414">
        <f>G104-H104-I104</f>
        <v/>
      </c>
      <c r="Z104" s="414">
        <f>H104+I104</f>
        <v/>
      </c>
      <c r="AA104" s="414">
        <f>H104*N104</f>
        <v/>
      </c>
      <c r="AB104" s="123" t="n"/>
      <c r="AC104" s="123" t="n"/>
      <c r="AD104" s="123" t="n"/>
      <c r="AE104" s="123" t="n"/>
      <c r="AF104" s="123" t="n"/>
      <c r="AG104" s="123" t="n"/>
      <c r="AH104" s="123" t="n"/>
      <c r="AI104" s="123" t="n"/>
    </row>
    <row r="105" ht="27" customFormat="1" customHeight="1" s="3">
      <c r="A105" s="217" t="n"/>
      <c r="B105" s="418" t="n"/>
      <c r="C105" s="419" t="n"/>
      <c r="D105" s="113" t="n"/>
      <c r="E105" s="403" t="n"/>
      <c r="F105" s="404" t="n"/>
      <c r="G105" s="420" t="n"/>
      <c r="H105" s="406" t="n"/>
      <c r="I105" s="407" t="n"/>
      <c r="J105" s="408" t="n"/>
      <c r="K105" s="409" t="n"/>
      <c r="L105" s="391" t="n"/>
      <c r="M105" s="399" t="n"/>
      <c r="N105" s="410" t="n"/>
      <c r="O105" s="399" t="n"/>
      <c r="P105" s="411" t="n"/>
      <c r="Q105" s="399" t="n"/>
      <c r="R105" s="412" t="n"/>
      <c r="S105" s="399" t="n"/>
      <c r="T105" s="417" t="n"/>
      <c r="U105" s="391" t="n"/>
      <c r="V105" s="391" t="n"/>
      <c r="W105" s="399" t="n"/>
      <c r="X105" s="217" t="n"/>
      <c r="Y105" s="414">
        <f>G105-H105-I105</f>
        <v/>
      </c>
      <c r="Z105" s="414">
        <f>H105+I105</f>
        <v/>
      </c>
      <c r="AA105" s="414">
        <f>H105*N105</f>
        <v/>
      </c>
      <c r="AB105" s="123" t="n"/>
      <c r="AC105" s="123" t="n"/>
      <c r="AD105" s="123" t="n"/>
      <c r="AE105" s="123" t="n"/>
      <c r="AF105" s="123" t="n"/>
      <c r="AG105" s="123" t="n"/>
      <c r="AH105" s="123" t="n"/>
      <c r="AI105" s="123" t="n"/>
    </row>
    <row r="106" ht="27" customFormat="1" customHeight="1" s="3">
      <c r="A106" s="217" t="n"/>
      <c r="B106" s="418" t="n"/>
      <c r="C106" s="419" t="n"/>
      <c r="D106" s="113" t="n"/>
      <c r="E106" s="403" t="n"/>
      <c r="F106" s="404" t="n"/>
      <c r="G106" s="420" t="n"/>
      <c r="H106" s="406" t="n"/>
      <c r="I106" s="407" t="n"/>
      <c r="J106" s="408" t="n"/>
      <c r="K106" s="409" t="n"/>
      <c r="L106" s="391" t="n"/>
      <c r="M106" s="399" t="n"/>
      <c r="N106" s="410" t="n"/>
      <c r="O106" s="399" t="n"/>
      <c r="P106" s="411" t="n"/>
      <c r="Q106" s="399" t="n"/>
      <c r="R106" s="412" t="n"/>
      <c r="S106" s="399" t="n"/>
      <c r="T106" s="417" t="n"/>
      <c r="U106" s="391" t="n"/>
      <c r="V106" s="391" t="n"/>
      <c r="W106" s="399" t="n"/>
      <c r="X106" s="217" t="n"/>
      <c r="Y106" s="414">
        <f>G106-H106-I106</f>
        <v/>
      </c>
      <c r="Z106" s="414">
        <f>H106+I106</f>
        <v/>
      </c>
      <c r="AA106" s="414">
        <f>H106*N106</f>
        <v/>
      </c>
      <c r="AB106" s="123" t="n"/>
      <c r="AC106" s="123" t="n"/>
      <c r="AD106" s="123" t="n"/>
      <c r="AE106" s="123" t="n"/>
      <c r="AF106" s="123" t="n"/>
      <c r="AG106" s="123" t="n"/>
      <c r="AH106" s="123" t="n"/>
      <c r="AI106" s="123" t="n"/>
    </row>
    <row r="107" ht="27" customFormat="1" customHeight="1" s="3">
      <c r="A107" s="217" t="n"/>
      <c r="B107" s="418" t="n"/>
      <c r="C107" s="419" t="n"/>
      <c r="D107" s="113" t="n"/>
      <c r="E107" s="403" t="n"/>
      <c r="F107" s="404" t="n"/>
      <c r="G107" s="420" t="n"/>
      <c r="H107" s="406" t="n"/>
      <c r="I107" s="407" t="n"/>
      <c r="J107" s="408" t="n"/>
      <c r="K107" s="409" t="n"/>
      <c r="L107" s="391" t="n"/>
      <c r="M107" s="399" t="n"/>
      <c r="N107" s="410" t="n"/>
      <c r="O107" s="399" t="n"/>
      <c r="P107" s="411" t="n"/>
      <c r="Q107" s="399" t="n"/>
      <c r="R107" s="412" t="n"/>
      <c r="S107" s="399" t="n"/>
      <c r="T107" s="417" t="n"/>
      <c r="U107" s="391" t="n"/>
      <c r="V107" s="391" t="n"/>
      <c r="W107" s="399" t="n"/>
      <c r="X107" s="217" t="n"/>
      <c r="Y107" s="414">
        <f>G107-H107-I107</f>
        <v/>
      </c>
      <c r="Z107" s="414">
        <f>H107+I107</f>
        <v/>
      </c>
      <c r="AA107" s="414">
        <f>H107*N107</f>
        <v/>
      </c>
      <c r="AB107" s="123" t="n"/>
      <c r="AC107" s="123" t="n"/>
      <c r="AD107" s="123" t="n"/>
      <c r="AE107" s="123" t="n"/>
      <c r="AF107" s="123" t="n"/>
      <c r="AG107" s="123" t="n"/>
      <c r="AH107" s="123" t="n"/>
      <c r="AI107" s="123" t="n"/>
    </row>
    <row r="108" ht="27" customFormat="1" customHeight="1" s="3">
      <c r="A108" s="217" t="n"/>
      <c r="B108" s="418" t="n"/>
      <c r="C108" s="419" t="n"/>
      <c r="D108" s="113" t="n"/>
      <c r="E108" s="403" t="n"/>
      <c r="F108" s="404" t="n"/>
      <c r="G108" s="420" t="n"/>
      <c r="H108" s="406" t="n"/>
      <c r="I108" s="407" t="n"/>
      <c r="J108" s="408" t="n"/>
      <c r="K108" s="409" t="n"/>
      <c r="L108" s="391" t="n"/>
      <c r="M108" s="399" t="n"/>
      <c r="N108" s="410" t="n"/>
      <c r="O108" s="399" t="n"/>
      <c r="P108" s="411" t="n"/>
      <c r="Q108" s="399" t="n"/>
      <c r="R108" s="412" t="n"/>
      <c r="S108" s="399" t="n"/>
      <c r="T108" s="417" t="n"/>
      <c r="U108" s="391" t="n"/>
      <c r="V108" s="391" t="n"/>
      <c r="W108" s="399" t="n"/>
      <c r="X108" s="217" t="n"/>
      <c r="Y108" s="414">
        <f>G108-H108-I108</f>
        <v/>
      </c>
      <c r="Z108" s="414">
        <f>H108+I108</f>
        <v/>
      </c>
      <c r="AA108" s="414">
        <f>H108*N108</f>
        <v/>
      </c>
      <c r="AB108" s="123" t="n"/>
      <c r="AC108" s="123" t="n"/>
      <c r="AD108" s="123" t="n"/>
      <c r="AE108" s="123" t="n"/>
      <c r="AF108" s="123" t="n"/>
      <c r="AG108" s="123" t="n"/>
      <c r="AH108" s="123" t="n"/>
      <c r="AI108" s="123" t="n"/>
    </row>
    <row r="109" ht="27" customFormat="1" customHeight="1" s="3">
      <c r="A109" s="217" t="n"/>
      <c r="B109" s="418" t="n"/>
      <c r="C109" s="419" t="n"/>
      <c r="D109" s="113" t="n"/>
      <c r="E109" s="403" t="n"/>
      <c r="F109" s="404" t="n"/>
      <c r="G109" s="420" t="n"/>
      <c r="H109" s="406" t="n"/>
      <c r="I109" s="407" t="n"/>
      <c r="J109" s="408" t="n"/>
      <c r="K109" s="409" t="n"/>
      <c r="L109" s="391" t="n"/>
      <c r="M109" s="399" t="n"/>
      <c r="N109" s="410" t="n"/>
      <c r="O109" s="399" t="n"/>
      <c r="P109" s="411" t="n"/>
      <c r="Q109" s="399" t="n"/>
      <c r="R109" s="412" t="n"/>
      <c r="S109" s="399" t="n"/>
      <c r="T109" s="417" t="n"/>
      <c r="U109" s="391" t="n"/>
      <c r="V109" s="391" t="n"/>
      <c r="W109" s="399" t="n"/>
      <c r="X109" s="217" t="n"/>
      <c r="Y109" s="414">
        <f>G109-H109-I109</f>
        <v/>
      </c>
      <c r="Z109" s="414">
        <f>H109+I109</f>
        <v/>
      </c>
      <c r="AA109" s="414">
        <f>H109*N109</f>
        <v/>
      </c>
      <c r="AB109" s="123" t="n"/>
      <c r="AC109" s="123" t="n"/>
      <c r="AD109" s="123" t="n"/>
      <c r="AE109" s="123" t="n"/>
      <c r="AF109" s="123" t="n"/>
      <c r="AG109" s="123" t="n"/>
      <c r="AH109" s="123" t="n"/>
      <c r="AI109" s="123" t="n"/>
    </row>
    <row r="110" ht="27" customFormat="1" customHeight="1" s="3">
      <c r="A110" s="217" t="n"/>
      <c r="B110" s="418" t="n"/>
      <c r="C110" s="419" t="n"/>
      <c r="D110" s="113" t="n"/>
      <c r="E110" s="403" t="n"/>
      <c r="F110" s="404" t="n"/>
      <c r="G110" s="420" t="n"/>
      <c r="H110" s="406" t="n"/>
      <c r="I110" s="407" t="n"/>
      <c r="J110" s="408" t="n"/>
      <c r="K110" s="409" t="n"/>
      <c r="L110" s="391" t="n"/>
      <c r="M110" s="399" t="n"/>
      <c r="N110" s="410" t="n"/>
      <c r="O110" s="399" t="n"/>
      <c r="P110" s="411" t="n"/>
      <c r="Q110" s="399" t="n"/>
      <c r="R110" s="412" t="n"/>
      <c r="S110" s="399" t="n"/>
      <c r="T110" s="417" t="n"/>
      <c r="U110" s="391" t="n"/>
      <c r="V110" s="391" t="n"/>
      <c r="W110" s="399" t="n"/>
      <c r="X110" s="217" t="n"/>
      <c r="Y110" s="414">
        <f>G110-H110-I110</f>
        <v/>
      </c>
      <c r="Z110" s="414">
        <f>H110+I110</f>
        <v/>
      </c>
      <c r="AA110" s="414">
        <f>H110*N110</f>
        <v/>
      </c>
      <c r="AB110" s="123" t="n"/>
      <c r="AC110" s="123" t="n"/>
      <c r="AD110" s="123" t="n"/>
      <c r="AE110" s="123" t="n"/>
      <c r="AF110" s="123" t="n"/>
      <c r="AG110" s="123" t="n"/>
      <c r="AH110" s="123" t="n"/>
      <c r="AI110" s="123" t="n"/>
    </row>
    <row r="111" ht="27" customFormat="1" customHeight="1" s="3">
      <c r="A111" s="217" t="n"/>
      <c r="B111" s="418" t="n"/>
      <c r="C111" s="419" t="n"/>
      <c r="D111" s="113" t="n"/>
      <c r="E111" s="403" t="n"/>
      <c r="F111" s="404" t="n"/>
      <c r="G111" s="420" t="n"/>
      <c r="H111" s="406" t="n"/>
      <c r="I111" s="407" t="n"/>
      <c r="J111" s="408" t="n"/>
      <c r="K111" s="409" t="n"/>
      <c r="L111" s="391" t="n"/>
      <c r="M111" s="399" t="n"/>
      <c r="N111" s="410" t="n"/>
      <c r="O111" s="399" t="n"/>
      <c r="P111" s="411" t="n"/>
      <c r="Q111" s="399" t="n"/>
      <c r="R111" s="412" t="n"/>
      <c r="S111" s="399" t="n"/>
      <c r="T111" s="417" t="n"/>
      <c r="U111" s="391" t="n"/>
      <c r="V111" s="391" t="n"/>
      <c r="W111" s="399" t="n"/>
      <c r="X111" s="217" t="n"/>
      <c r="Y111" s="414">
        <f>G111-H111-I111</f>
        <v/>
      </c>
      <c r="Z111" s="414">
        <f>H111+I111</f>
        <v/>
      </c>
      <c r="AA111" s="414">
        <f>H111*N111</f>
        <v/>
      </c>
      <c r="AB111" s="123" t="n"/>
      <c r="AC111" s="123" t="n"/>
      <c r="AD111" s="123" t="n"/>
      <c r="AE111" s="123" t="n"/>
      <c r="AF111" s="123" t="n"/>
      <c r="AG111" s="123" t="n"/>
      <c r="AH111" s="123" t="n"/>
      <c r="AI111" s="123" t="n"/>
    </row>
    <row r="112" ht="27" customFormat="1" customHeight="1" s="3">
      <c r="A112" s="217" t="n"/>
      <c r="B112" s="418" t="n"/>
      <c r="C112" s="419" t="n"/>
      <c r="D112" s="113" t="n"/>
      <c r="E112" s="403" t="n"/>
      <c r="F112" s="404" t="n"/>
      <c r="G112" s="420" t="n"/>
      <c r="H112" s="406" t="n"/>
      <c r="I112" s="407" t="n"/>
      <c r="J112" s="408" t="n"/>
      <c r="K112" s="409" t="n"/>
      <c r="L112" s="391" t="n"/>
      <c r="M112" s="399" t="n"/>
      <c r="N112" s="410" t="n"/>
      <c r="O112" s="399" t="n"/>
      <c r="P112" s="411" t="n"/>
      <c r="Q112" s="399" t="n"/>
      <c r="R112" s="412" t="n"/>
      <c r="S112" s="399" t="n"/>
      <c r="T112" s="417" t="n"/>
      <c r="U112" s="391" t="n"/>
      <c r="V112" s="391" t="n"/>
      <c r="W112" s="399" t="n"/>
      <c r="X112" s="217" t="n"/>
      <c r="Y112" s="414">
        <f>G112-H112-I112</f>
        <v/>
      </c>
      <c r="Z112" s="414">
        <f>H112+I112</f>
        <v/>
      </c>
      <c r="AA112" s="414">
        <f>H112*N112</f>
        <v/>
      </c>
      <c r="AB112" s="123" t="n"/>
      <c r="AC112" s="123" t="n"/>
      <c r="AD112" s="123" t="n"/>
      <c r="AE112" s="123" t="n"/>
      <c r="AF112" s="123" t="n"/>
      <c r="AG112" s="123" t="n"/>
      <c r="AH112" s="123" t="n"/>
      <c r="AI112" s="123" t="n"/>
    </row>
    <row r="113" ht="27" customFormat="1" customHeight="1" s="3">
      <c r="A113" s="217" t="n"/>
      <c r="B113" s="418" t="n"/>
      <c r="C113" s="419" t="n"/>
      <c r="D113" s="113" t="n"/>
      <c r="E113" s="403" t="n"/>
      <c r="F113" s="404" t="n"/>
      <c r="G113" s="420" t="n"/>
      <c r="H113" s="406" t="n"/>
      <c r="I113" s="407" t="n"/>
      <c r="J113" s="408" t="n"/>
      <c r="K113" s="409" t="n"/>
      <c r="L113" s="391" t="n"/>
      <c r="M113" s="399" t="n"/>
      <c r="N113" s="410" t="n"/>
      <c r="O113" s="399" t="n"/>
      <c r="P113" s="411" t="n"/>
      <c r="Q113" s="399" t="n"/>
      <c r="R113" s="412" t="n"/>
      <c r="S113" s="399" t="n"/>
      <c r="T113" s="417" t="n"/>
      <c r="U113" s="391" t="n"/>
      <c r="V113" s="391" t="n"/>
      <c r="W113" s="399" t="n"/>
      <c r="X113" s="217" t="n"/>
      <c r="Y113" s="414">
        <f>G113-H113-I113</f>
        <v/>
      </c>
      <c r="Z113" s="414">
        <f>H113+I113</f>
        <v/>
      </c>
      <c r="AA113" s="414">
        <f>H113*N113</f>
        <v/>
      </c>
      <c r="AB113" s="123" t="n"/>
      <c r="AC113" s="123" t="n"/>
      <c r="AD113" s="123" t="n"/>
      <c r="AE113" s="123" t="n"/>
      <c r="AF113" s="123" t="n"/>
      <c r="AG113" s="123" t="n"/>
      <c r="AH113" s="123" t="n"/>
      <c r="AI113" s="123" t="n"/>
    </row>
    <row r="114" ht="27" customFormat="1" customHeight="1" s="3">
      <c r="A114" s="217" t="n"/>
      <c r="B114" s="418" t="n"/>
      <c r="C114" s="419" t="n"/>
      <c r="D114" s="113" t="n"/>
      <c r="E114" s="403" t="n"/>
      <c r="F114" s="404" t="n"/>
      <c r="G114" s="420" t="n"/>
      <c r="H114" s="406" t="n"/>
      <c r="I114" s="407" t="n"/>
      <c r="J114" s="408" t="n"/>
      <c r="K114" s="409" t="n"/>
      <c r="L114" s="391" t="n"/>
      <c r="M114" s="399" t="n"/>
      <c r="N114" s="410" t="n"/>
      <c r="O114" s="399" t="n"/>
      <c r="P114" s="411" t="n"/>
      <c r="Q114" s="399" t="n"/>
      <c r="R114" s="412" t="n"/>
      <c r="S114" s="399" t="n"/>
      <c r="T114" s="417" t="n"/>
      <c r="U114" s="391" t="n"/>
      <c r="V114" s="391" t="n"/>
      <c r="W114" s="399" t="n"/>
      <c r="X114" s="217" t="n"/>
      <c r="Y114" s="414">
        <f>G114-H114-I114</f>
        <v/>
      </c>
      <c r="Z114" s="414">
        <f>H114+I114</f>
        <v/>
      </c>
      <c r="AA114" s="414">
        <f>H114*N114</f>
        <v/>
      </c>
      <c r="AB114" s="123" t="n"/>
      <c r="AC114" s="123" t="n"/>
      <c r="AD114" s="123" t="n"/>
      <c r="AE114" s="123" t="n"/>
      <c r="AF114" s="123" t="n"/>
      <c r="AG114" s="123" t="n"/>
      <c r="AH114" s="123" t="n"/>
      <c r="AI114" s="123" t="n"/>
    </row>
    <row r="115" ht="27" customFormat="1" customHeight="1" s="3">
      <c r="A115" s="217" t="n"/>
      <c r="B115" s="418" t="n"/>
      <c r="C115" s="419" t="n"/>
      <c r="D115" s="113" t="n"/>
      <c r="E115" s="403" t="n"/>
      <c r="F115" s="404" t="n"/>
      <c r="G115" s="420" t="n"/>
      <c r="H115" s="406" t="n"/>
      <c r="I115" s="407" t="n"/>
      <c r="J115" s="408" t="n"/>
      <c r="K115" s="409" t="n"/>
      <c r="L115" s="391" t="n"/>
      <c r="M115" s="399" t="n"/>
      <c r="N115" s="410" t="n"/>
      <c r="O115" s="399" t="n"/>
      <c r="P115" s="411" t="n"/>
      <c r="Q115" s="399" t="n"/>
      <c r="R115" s="412" t="n"/>
      <c r="S115" s="399" t="n"/>
      <c r="T115" s="417" t="n"/>
      <c r="U115" s="391" t="n"/>
      <c r="V115" s="391" t="n"/>
      <c r="W115" s="399" t="n"/>
      <c r="X115" s="217" t="n"/>
      <c r="Y115" s="414">
        <f>G115-H115-I115</f>
        <v/>
      </c>
      <c r="Z115" s="414">
        <f>H115+I115</f>
        <v/>
      </c>
      <c r="AA115" s="414">
        <f>H115*N115</f>
        <v/>
      </c>
      <c r="AB115" s="123" t="n"/>
      <c r="AC115" s="123" t="n"/>
      <c r="AD115" s="123" t="n"/>
      <c r="AE115" s="123" t="n"/>
      <c r="AF115" s="123" t="n"/>
      <c r="AG115" s="123" t="n"/>
      <c r="AH115" s="123" t="n"/>
      <c r="AI115" s="123" t="n"/>
    </row>
    <row r="116" ht="27" customFormat="1" customHeight="1" s="3">
      <c r="A116" s="217" t="n"/>
      <c r="B116" s="418" t="n"/>
      <c r="C116" s="419" t="n"/>
      <c r="D116" s="113" t="n"/>
      <c r="E116" s="403" t="n"/>
      <c r="F116" s="404" t="n"/>
      <c r="G116" s="420" t="n"/>
      <c r="H116" s="406" t="n"/>
      <c r="I116" s="407" t="n"/>
      <c r="J116" s="408" t="n"/>
      <c r="K116" s="409" t="n"/>
      <c r="L116" s="391" t="n"/>
      <c r="M116" s="399" t="n"/>
      <c r="N116" s="410" t="n"/>
      <c r="O116" s="399" t="n"/>
      <c r="P116" s="411" t="n"/>
      <c r="Q116" s="399" t="n"/>
      <c r="R116" s="412" t="n"/>
      <c r="S116" s="399" t="n"/>
      <c r="T116" s="417" t="n"/>
      <c r="U116" s="391" t="n"/>
      <c r="V116" s="391" t="n"/>
      <c r="W116" s="399" t="n"/>
      <c r="X116" s="217" t="n"/>
      <c r="Y116" s="414">
        <f>G116-H116-I116</f>
        <v/>
      </c>
      <c r="Z116" s="414">
        <f>H116+I116</f>
        <v/>
      </c>
      <c r="AA116" s="414">
        <f>H116*N116</f>
        <v/>
      </c>
      <c r="AB116" s="123" t="n"/>
      <c r="AC116" s="123" t="n"/>
      <c r="AD116" s="123" t="n"/>
      <c r="AE116" s="123" t="n"/>
      <c r="AF116" s="123" t="n"/>
      <c r="AG116" s="123" t="n"/>
      <c r="AH116" s="123" t="n"/>
      <c r="AI116" s="123" t="n"/>
    </row>
    <row r="117" ht="27" customFormat="1" customHeight="1" s="3">
      <c r="A117" s="217" t="n"/>
      <c r="B117" s="418" t="n"/>
      <c r="C117" s="419" t="n"/>
      <c r="D117" s="113" t="n"/>
      <c r="E117" s="403" t="n"/>
      <c r="F117" s="404" t="n"/>
      <c r="G117" s="420" t="n"/>
      <c r="H117" s="406" t="n"/>
      <c r="I117" s="407" t="n"/>
      <c r="J117" s="408" t="n"/>
      <c r="K117" s="409" t="n"/>
      <c r="L117" s="391" t="n"/>
      <c r="M117" s="399" t="n"/>
      <c r="N117" s="410" t="n"/>
      <c r="O117" s="399" t="n"/>
      <c r="P117" s="411" t="n"/>
      <c r="Q117" s="399" t="n"/>
      <c r="R117" s="412" t="n"/>
      <c r="S117" s="399" t="n"/>
      <c r="T117" s="417" t="n"/>
      <c r="U117" s="391" t="n"/>
      <c r="V117" s="391" t="n"/>
      <c r="W117" s="399" t="n"/>
      <c r="X117" s="217" t="n"/>
      <c r="Y117" s="414">
        <f>G117-H117-I117</f>
        <v/>
      </c>
      <c r="Z117" s="414">
        <f>H117+I117</f>
        <v/>
      </c>
      <c r="AA117" s="414">
        <f>H117*N117</f>
        <v/>
      </c>
      <c r="AB117" s="123" t="n"/>
      <c r="AC117" s="123" t="n"/>
      <c r="AD117" s="123" t="n"/>
      <c r="AE117" s="123" t="n"/>
      <c r="AF117" s="123" t="n"/>
      <c r="AG117" s="123" t="n"/>
      <c r="AH117" s="123" t="n"/>
      <c r="AI117" s="123" t="n"/>
    </row>
    <row r="118" ht="27" customFormat="1" customHeight="1" s="3">
      <c r="A118" s="217" t="n"/>
      <c r="B118" s="418" t="n"/>
      <c r="C118" s="419" t="n"/>
      <c r="D118" s="113" t="n"/>
      <c r="E118" s="403" t="n"/>
      <c r="F118" s="404" t="n"/>
      <c r="G118" s="420" t="n"/>
      <c r="H118" s="406" t="n"/>
      <c r="I118" s="407" t="n"/>
      <c r="J118" s="408" t="n"/>
      <c r="K118" s="409" t="n"/>
      <c r="L118" s="391" t="n"/>
      <c r="M118" s="399" t="n"/>
      <c r="N118" s="410" t="n"/>
      <c r="O118" s="399" t="n"/>
      <c r="P118" s="411" t="n"/>
      <c r="Q118" s="399" t="n"/>
      <c r="R118" s="412" t="n"/>
      <c r="S118" s="399" t="n"/>
      <c r="T118" s="417" t="n"/>
      <c r="U118" s="391" t="n"/>
      <c r="V118" s="391" t="n"/>
      <c r="W118" s="399" t="n"/>
      <c r="X118" s="217" t="n"/>
      <c r="Y118" s="414">
        <f>G118-H118-I118</f>
        <v/>
      </c>
      <c r="Z118" s="414">
        <f>H118+I118</f>
        <v/>
      </c>
      <c r="AA118" s="414">
        <f>H118*N118</f>
        <v/>
      </c>
      <c r="AB118" s="123" t="n"/>
      <c r="AC118" s="123" t="n"/>
      <c r="AD118" s="123" t="n"/>
      <c r="AE118" s="123" t="n"/>
      <c r="AF118" s="123" t="n"/>
      <c r="AG118" s="123" t="n"/>
      <c r="AH118" s="123" t="n"/>
      <c r="AI118" s="123" t="n"/>
    </row>
    <row r="119" ht="27" customFormat="1" customHeight="1" s="3">
      <c r="A119" s="217" t="n"/>
      <c r="B119" s="418" t="n"/>
      <c r="C119" s="419" t="n"/>
      <c r="D119" s="113" t="n"/>
      <c r="E119" s="403" t="n"/>
      <c r="F119" s="404" t="n"/>
      <c r="G119" s="420" t="n"/>
      <c r="H119" s="406" t="n"/>
      <c r="I119" s="407" t="n"/>
      <c r="J119" s="408" t="n"/>
      <c r="K119" s="409" t="n"/>
      <c r="L119" s="391" t="n"/>
      <c r="M119" s="399" t="n"/>
      <c r="N119" s="410" t="n"/>
      <c r="O119" s="399" t="n"/>
      <c r="P119" s="411" t="n"/>
      <c r="Q119" s="399" t="n"/>
      <c r="R119" s="412" t="n"/>
      <c r="S119" s="399" t="n"/>
      <c r="T119" s="417" t="n"/>
      <c r="U119" s="391" t="n"/>
      <c r="V119" s="391" t="n"/>
      <c r="W119" s="399" t="n"/>
      <c r="X119" s="217" t="n"/>
      <c r="Y119" s="414">
        <f>G119-H119-I119</f>
        <v/>
      </c>
      <c r="Z119" s="414">
        <f>H119+I119</f>
        <v/>
      </c>
      <c r="AA119" s="414">
        <f>H119*N119</f>
        <v/>
      </c>
      <c r="AB119" s="123" t="n"/>
      <c r="AC119" s="123" t="n"/>
      <c r="AD119" s="123" t="n"/>
      <c r="AE119" s="123" t="n"/>
      <c r="AF119" s="123" t="n"/>
      <c r="AG119" s="123" t="n"/>
      <c r="AH119" s="123" t="n"/>
      <c r="AI119" s="123" t="n"/>
    </row>
    <row r="120" ht="27" customFormat="1" customHeight="1" s="3">
      <c r="A120" s="217" t="n"/>
      <c r="B120" s="418" t="n"/>
      <c r="C120" s="419" t="n"/>
      <c r="D120" s="113" t="n"/>
      <c r="E120" s="403" t="n"/>
      <c r="F120" s="404" t="n"/>
      <c r="G120" s="420" t="n"/>
      <c r="H120" s="406" t="n"/>
      <c r="I120" s="407" t="n"/>
      <c r="J120" s="408" t="n"/>
      <c r="K120" s="409" t="n"/>
      <c r="L120" s="391" t="n"/>
      <c r="M120" s="399" t="n"/>
      <c r="N120" s="410" t="n"/>
      <c r="O120" s="399" t="n"/>
      <c r="P120" s="411" t="n"/>
      <c r="Q120" s="399" t="n"/>
      <c r="R120" s="412" t="n"/>
      <c r="S120" s="399" t="n"/>
      <c r="T120" s="417" t="n"/>
      <c r="U120" s="391" t="n"/>
      <c r="V120" s="391" t="n"/>
      <c r="W120" s="399" t="n"/>
      <c r="X120" s="217" t="n"/>
      <c r="Y120" s="414">
        <f>G120-H120-I120</f>
        <v/>
      </c>
      <c r="Z120" s="414">
        <f>H120+I120</f>
        <v/>
      </c>
      <c r="AA120" s="414">
        <f>H120*N120</f>
        <v/>
      </c>
      <c r="AB120" s="123" t="n"/>
      <c r="AC120" s="123" t="n"/>
      <c r="AD120" s="123" t="n"/>
      <c r="AE120" s="123" t="n"/>
      <c r="AF120" s="123" t="n"/>
      <c r="AG120" s="123" t="n"/>
      <c r="AH120" s="123" t="n"/>
      <c r="AI120" s="123" t="n"/>
    </row>
    <row r="121" ht="27" customFormat="1" customHeight="1" s="3">
      <c r="A121" s="217" t="n"/>
      <c r="B121" s="418" t="n"/>
      <c r="C121" s="419" t="n"/>
      <c r="D121" s="113" t="n"/>
      <c r="E121" s="403" t="n"/>
      <c r="F121" s="404" t="n"/>
      <c r="G121" s="420" t="n"/>
      <c r="H121" s="406" t="n"/>
      <c r="I121" s="407" t="n"/>
      <c r="J121" s="408" t="n"/>
      <c r="K121" s="409" t="n"/>
      <c r="L121" s="391" t="n"/>
      <c r="M121" s="399" t="n"/>
      <c r="N121" s="410" t="n"/>
      <c r="O121" s="399" t="n"/>
      <c r="P121" s="411" t="n"/>
      <c r="Q121" s="399" t="n"/>
      <c r="R121" s="412" t="n"/>
      <c r="S121" s="399" t="n"/>
      <c r="T121" s="417" t="n"/>
      <c r="U121" s="391" t="n"/>
      <c r="V121" s="391" t="n"/>
      <c r="W121" s="399" t="n"/>
      <c r="X121" s="217" t="n"/>
      <c r="Y121" s="414">
        <f>G121-H121-I121</f>
        <v/>
      </c>
      <c r="Z121" s="414">
        <f>H121+I121</f>
        <v/>
      </c>
      <c r="AA121" s="414">
        <f>H121*N121</f>
        <v/>
      </c>
      <c r="AB121" s="123" t="n"/>
      <c r="AC121" s="123" t="n"/>
      <c r="AD121" s="123" t="n"/>
      <c r="AE121" s="123" t="n"/>
      <c r="AF121" s="123" t="n"/>
      <c r="AG121" s="123" t="n"/>
      <c r="AH121" s="123" t="n"/>
      <c r="AI121" s="123" t="n"/>
    </row>
    <row r="122" ht="27" customFormat="1" customHeight="1" s="3">
      <c r="A122" s="217" t="n"/>
      <c r="B122" s="418" t="n"/>
      <c r="C122" s="419" t="n"/>
      <c r="D122" s="113" t="n"/>
      <c r="E122" s="403" t="n"/>
      <c r="F122" s="404" t="n"/>
      <c r="G122" s="420" t="n"/>
      <c r="H122" s="406" t="n"/>
      <c r="I122" s="407" t="n"/>
      <c r="J122" s="408" t="n"/>
      <c r="K122" s="409" t="n"/>
      <c r="L122" s="391" t="n"/>
      <c r="M122" s="399" t="n"/>
      <c r="N122" s="410" t="n"/>
      <c r="O122" s="399" t="n"/>
      <c r="P122" s="411" t="n"/>
      <c r="Q122" s="399" t="n"/>
      <c r="R122" s="412" t="n"/>
      <c r="S122" s="399" t="n"/>
      <c r="T122" s="417" t="n"/>
      <c r="U122" s="391" t="n"/>
      <c r="V122" s="391" t="n"/>
      <c r="W122" s="399" t="n"/>
      <c r="X122" s="217" t="n"/>
      <c r="Y122" s="414">
        <f>G122-H122-I122</f>
        <v/>
      </c>
      <c r="Z122" s="414">
        <f>H122+I122</f>
        <v/>
      </c>
      <c r="AA122" s="414">
        <f>H122*N122</f>
        <v/>
      </c>
      <c r="AB122" s="123" t="n"/>
      <c r="AC122" s="123" t="n"/>
      <c r="AD122" s="123" t="n"/>
      <c r="AE122" s="123" t="n"/>
      <c r="AF122" s="123" t="n"/>
      <c r="AG122" s="123" t="n"/>
      <c r="AH122" s="123" t="n"/>
      <c r="AI122" s="123" t="n"/>
    </row>
    <row r="123" ht="27" customFormat="1" customHeight="1" s="3">
      <c r="A123" s="217" t="n"/>
      <c r="B123" s="418" t="n"/>
      <c r="C123" s="419" t="n"/>
      <c r="D123" s="113" t="n"/>
      <c r="E123" s="403" t="n"/>
      <c r="F123" s="404" t="n"/>
      <c r="G123" s="420" t="n"/>
      <c r="H123" s="406" t="n"/>
      <c r="I123" s="407" t="n"/>
      <c r="J123" s="408" t="n"/>
      <c r="K123" s="409" t="n"/>
      <c r="L123" s="391" t="n"/>
      <c r="M123" s="399" t="n"/>
      <c r="N123" s="410" t="n"/>
      <c r="O123" s="399" t="n"/>
      <c r="P123" s="411" t="n"/>
      <c r="Q123" s="399" t="n"/>
      <c r="R123" s="412" t="n"/>
      <c r="S123" s="399" t="n"/>
      <c r="T123" s="417" t="n"/>
      <c r="U123" s="391" t="n"/>
      <c r="V123" s="391" t="n"/>
      <c r="W123" s="399" t="n"/>
      <c r="X123" s="217" t="n"/>
      <c r="Y123" s="414">
        <f>G123-H123-I123</f>
        <v/>
      </c>
      <c r="Z123" s="414">
        <f>H123+I123</f>
        <v/>
      </c>
      <c r="AA123" s="414">
        <f>H123*N123</f>
        <v/>
      </c>
      <c r="AB123" s="123" t="n"/>
      <c r="AC123" s="123" t="n"/>
      <c r="AD123" s="123" t="n"/>
      <c r="AE123" s="123" t="n"/>
      <c r="AF123" s="123" t="n"/>
      <c r="AG123" s="123" t="n"/>
      <c r="AH123" s="123" t="n"/>
      <c r="AI123" s="123" t="n"/>
    </row>
    <row r="124" ht="27" customFormat="1" customHeight="1" s="3">
      <c r="A124" s="217" t="n"/>
      <c r="B124" s="418" t="n"/>
      <c r="C124" s="419" t="n"/>
      <c r="D124" s="113" t="n"/>
      <c r="E124" s="403" t="n"/>
      <c r="F124" s="404" t="n"/>
      <c r="G124" s="420" t="n"/>
      <c r="H124" s="406" t="n"/>
      <c r="I124" s="407" t="n"/>
      <c r="J124" s="408" t="n"/>
      <c r="K124" s="409" t="n"/>
      <c r="L124" s="391" t="n"/>
      <c r="M124" s="399" t="n"/>
      <c r="N124" s="410" t="n"/>
      <c r="O124" s="399" t="n"/>
      <c r="P124" s="411" t="n"/>
      <c r="Q124" s="399" t="n"/>
      <c r="R124" s="412" t="n"/>
      <c r="S124" s="399" t="n"/>
      <c r="T124" s="417" t="n"/>
      <c r="U124" s="391" t="n"/>
      <c r="V124" s="391" t="n"/>
      <c r="W124" s="399" t="n"/>
      <c r="X124" s="217" t="n"/>
      <c r="Y124" s="414">
        <f>G124-H124-I124</f>
        <v/>
      </c>
      <c r="Z124" s="414">
        <f>H124+I124</f>
        <v/>
      </c>
      <c r="AA124" s="414">
        <f>H124*N124</f>
        <v/>
      </c>
      <c r="AB124" s="123" t="n"/>
      <c r="AC124" s="123" t="n"/>
      <c r="AD124" s="123" t="n"/>
      <c r="AE124" s="123" t="n"/>
      <c r="AF124" s="123" t="n"/>
      <c r="AG124" s="123" t="n"/>
      <c r="AH124" s="123" t="n"/>
      <c r="AI124" s="123" t="n"/>
    </row>
    <row r="125" ht="27" customFormat="1" customHeight="1" s="3">
      <c r="A125" s="217" t="n"/>
      <c r="B125" s="418" t="n"/>
      <c r="C125" s="419" t="n"/>
      <c r="D125" s="113" t="n"/>
      <c r="E125" s="403" t="n"/>
      <c r="F125" s="404" t="n"/>
      <c r="G125" s="420" t="n"/>
      <c r="H125" s="406" t="n"/>
      <c r="I125" s="407" t="n"/>
      <c r="J125" s="408" t="n"/>
      <c r="K125" s="409" t="n"/>
      <c r="L125" s="391" t="n"/>
      <c r="M125" s="399" t="n"/>
      <c r="N125" s="410" t="n"/>
      <c r="O125" s="399" t="n"/>
      <c r="P125" s="411" t="n"/>
      <c r="Q125" s="399" t="n"/>
      <c r="R125" s="412" t="n"/>
      <c r="S125" s="399" t="n"/>
      <c r="T125" s="417" t="n"/>
      <c r="U125" s="391" t="n"/>
      <c r="V125" s="391" t="n"/>
      <c r="W125" s="399" t="n"/>
      <c r="X125" s="217" t="n"/>
      <c r="Y125" s="414">
        <f>G125-H125-I125</f>
        <v/>
      </c>
      <c r="Z125" s="414">
        <f>H125+I125</f>
        <v/>
      </c>
      <c r="AA125" s="414">
        <f>H125*N125</f>
        <v/>
      </c>
      <c r="AB125" s="123" t="n"/>
      <c r="AC125" s="123" t="n"/>
      <c r="AD125" s="123" t="n"/>
      <c r="AE125" s="123" t="n"/>
      <c r="AF125" s="123" t="n"/>
      <c r="AG125" s="123" t="n"/>
      <c r="AH125" s="123" t="n"/>
      <c r="AI125" s="123" t="n"/>
    </row>
    <row r="126" ht="27" customFormat="1" customHeight="1" s="3">
      <c r="A126" s="217" t="n"/>
      <c r="B126" s="418" t="n"/>
      <c r="C126" s="419" t="n"/>
      <c r="D126" s="113" t="n"/>
      <c r="E126" s="403" t="n"/>
      <c r="F126" s="404" t="n"/>
      <c r="G126" s="420" t="n"/>
      <c r="H126" s="406" t="n"/>
      <c r="I126" s="407" t="n"/>
      <c r="J126" s="408" t="n"/>
      <c r="K126" s="409" t="n"/>
      <c r="L126" s="391" t="n"/>
      <c r="M126" s="399" t="n"/>
      <c r="N126" s="410" t="n"/>
      <c r="O126" s="399" t="n"/>
      <c r="P126" s="411" t="n"/>
      <c r="Q126" s="399" t="n"/>
      <c r="R126" s="412" t="n"/>
      <c r="S126" s="399" t="n"/>
      <c r="T126" s="417" t="n"/>
      <c r="U126" s="391" t="n"/>
      <c r="V126" s="391" t="n"/>
      <c r="W126" s="399" t="n"/>
      <c r="X126" s="217" t="n"/>
      <c r="Y126" s="414">
        <f>G126-H126-I126</f>
        <v/>
      </c>
      <c r="Z126" s="414">
        <f>H126+I126</f>
        <v/>
      </c>
      <c r="AA126" s="414">
        <f>H126*N126</f>
        <v/>
      </c>
      <c r="AB126" s="123" t="n"/>
      <c r="AC126" s="123" t="n"/>
      <c r="AD126" s="123" t="n"/>
      <c r="AE126" s="123" t="n"/>
      <c r="AF126" s="123" t="n"/>
      <c r="AG126" s="123" t="n"/>
      <c r="AH126" s="123" t="n"/>
      <c r="AI126" s="123" t="n"/>
    </row>
    <row r="127" ht="27" customFormat="1" customHeight="1" s="3">
      <c r="A127" s="217" t="n"/>
      <c r="B127" s="418" t="n"/>
      <c r="C127" s="419" t="n"/>
      <c r="D127" s="113" t="n"/>
      <c r="E127" s="403" t="n"/>
      <c r="F127" s="404" t="n"/>
      <c r="G127" s="420" t="n"/>
      <c r="H127" s="406" t="n"/>
      <c r="I127" s="407" t="n"/>
      <c r="J127" s="408" t="n"/>
      <c r="K127" s="409" t="n"/>
      <c r="L127" s="391" t="n"/>
      <c r="M127" s="399" t="n"/>
      <c r="N127" s="410" t="n"/>
      <c r="O127" s="399" t="n"/>
      <c r="P127" s="411" t="n"/>
      <c r="Q127" s="399" t="n"/>
      <c r="R127" s="412" t="n"/>
      <c r="S127" s="399" t="n"/>
      <c r="T127" s="417" t="n"/>
      <c r="U127" s="391" t="n"/>
      <c r="V127" s="391" t="n"/>
      <c r="W127" s="399" t="n"/>
      <c r="X127" s="217" t="n"/>
      <c r="Y127" s="414">
        <f>G127-H127-I127</f>
        <v/>
      </c>
      <c r="Z127" s="414">
        <f>H127+I127</f>
        <v/>
      </c>
      <c r="AA127" s="414">
        <f>H127*N127</f>
        <v/>
      </c>
      <c r="AB127" s="123" t="n"/>
      <c r="AC127" s="123" t="n"/>
      <c r="AD127" s="123" t="n"/>
      <c r="AE127" s="123" t="n"/>
      <c r="AF127" s="123" t="n"/>
      <c r="AG127" s="123" t="n"/>
      <c r="AH127" s="123" t="n"/>
      <c r="AI127" s="123" t="n"/>
    </row>
    <row r="128" ht="27" customFormat="1" customHeight="1" s="3">
      <c r="A128" s="217" t="n"/>
      <c r="B128" s="418" t="n"/>
      <c r="C128" s="419" t="n"/>
      <c r="D128" s="113" t="n"/>
      <c r="E128" s="403" t="n"/>
      <c r="F128" s="404" t="n"/>
      <c r="G128" s="420" t="n"/>
      <c r="H128" s="406" t="n"/>
      <c r="I128" s="407" t="n"/>
      <c r="J128" s="408" t="n"/>
      <c r="K128" s="409" t="n"/>
      <c r="L128" s="391" t="n"/>
      <c r="M128" s="399" t="n"/>
      <c r="N128" s="410" t="n"/>
      <c r="O128" s="399" t="n"/>
      <c r="P128" s="411" t="n"/>
      <c r="Q128" s="399" t="n"/>
      <c r="R128" s="412" t="n"/>
      <c r="S128" s="399" t="n"/>
      <c r="T128" s="417" t="n"/>
      <c r="U128" s="391" t="n"/>
      <c r="V128" s="391" t="n"/>
      <c r="W128" s="399" t="n"/>
      <c r="X128" s="217" t="n"/>
      <c r="Y128" s="414">
        <f>G128-H128-I128</f>
        <v/>
      </c>
      <c r="Z128" s="414">
        <f>H128+I128</f>
        <v/>
      </c>
      <c r="AA128" s="414">
        <f>H128*N128</f>
        <v/>
      </c>
      <c r="AB128" s="123" t="n"/>
      <c r="AC128" s="123" t="n"/>
      <c r="AD128" s="123" t="n"/>
      <c r="AE128" s="123" t="n"/>
      <c r="AF128" s="123" t="n"/>
      <c r="AG128" s="123" t="n"/>
      <c r="AH128" s="123" t="n"/>
      <c r="AI128" s="123" t="n"/>
    </row>
    <row r="129" ht="27" customFormat="1" customHeight="1" s="3">
      <c r="A129" s="217" t="n"/>
      <c r="B129" s="418" t="n"/>
      <c r="C129" s="419" t="n"/>
      <c r="D129" s="113" t="n"/>
      <c r="E129" s="403" t="n"/>
      <c r="F129" s="404" t="n"/>
      <c r="G129" s="420" t="n"/>
      <c r="H129" s="406" t="n"/>
      <c r="I129" s="407" t="n"/>
      <c r="J129" s="408" t="n"/>
      <c r="K129" s="409" t="n"/>
      <c r="L129" s="391" t="n"/>
      <c r="M129" s="399" t="n"/>
      <c r="N129" s="410" t="n"/>
      <c r="O129" s="399" t="n"/>
      <c r="P129" s="411" t="n"/>
      <c r="Q129" s="399" t="n"/>
      <c r="R129" s="412" t="n"/>
      <c r="S129" s="399" t="n"/>
      <c r="T129" s="417" t="n"/>
      <c r="U129" s="391" t="n"/>
      <c r="V129" s="391" t="n"/>
      <c r="W129" s="399" t="n"/>
      <c r="X129" s="217" t="n"/>
      <c r="Y129" s="414">
        <f>G129-H129-I129</f>
        <v/>
      </c>
      <c r="Z129" s="414">
        <f>H129+I129</f>
        <v/>
      </c>
      <c r="AA129" s="414">
        <f>H129*N129</f>
        <v/>
      </c>
      <c r="AB129" s="123" t="n"/>
      <c r="AC129" s="123" t="n"/>
      <c r="AD129" s="123" t="n"/>
      <c r="AE129" s="123" t="n"/>
      <c r="AF129" s="123" t="n"/>
      <c r="AG129" s="123" t="n"/>
      <c r="AH129" s="123" t="n"/>
      <c r="AI129" s="123" t="n"/>
    </row>
    <row r="130" ht="27" customFormat="1" customHeight="1" s="3">
      <c r="A130" s="217" t="n"/>
      <c r="B130" s="418" t="n"/>
      <c r="C130" s="419" t="n"/>
      <c r="D130" s="113" t="n"/>
      <c r="E130" s="403" t="n"/>
      <c r="F130" s="404" t="n"/>
      <c r="G130" s="420" t="n"/>
      <c r="H130" s="406" t="n"/>
      <c r="I130" s="407" t="n"/>
      <c r="J130" s="408" t="n"/>
      <c r="K130" s="409" t="n"/>
      <c r="L130" s="391" t="n"/>
      <c r="M130" s="399" t="n"/>
      <c r="N130" s="410" t="n"/>
      <c r="O130" s="399" t="n"/>
      <c r="P130" s="411" t="n"/>
      <c r="Q130" s="399" t="n"/>
      <c r="R130" s="412" t="n"/>
      <c r="S130" s="399" t="n"/>
      <c r="T130" s="417" t="n"/>
      <c r="U130" s="391" t="n"/>
      <c r="V130" s="391" t="n"/>
      <c r="W130" s="399" t="n"/>
      <c r="X130" s="217" t="n"/>
      <c r="Y130" s="414">
        <f>G130-H130-I130</f>
        <v/>
      </c>
      <c r="Z130" s="414">
        <f>H130+I130</f>
        <v/>
      </c>
      <c r="AA130" s="414">
        <f>H130*N130</f>
        <v/>
      </c>
      <c r="AB130" s="123" t="n"/>
      <c r="AC130" s="123" t="n"/>
      <c r="AD130" s="123" t="n"/>
      <c r="AE130" s="123" t="n"/>
      <c r="AF130" s="123" t="n"/>
      <c r="AG130" s="123" t="n"/>
      <c r="AH130" s="123" t="n"/>
      <c r="AI130" s="123" t="n"/>
    </row>
    <row r="131" ht="27" customFormat="1" customHeight="1" s="3">
      <c r="A131" s="217" t="n"/>
      <c r="B131" s="418" t="n"/>
      <c r="C131" s="419" t="n"/>
      <c r="D131" s="113" t="n"/>
      <c r="E131" s="403" t="n"/>
      <c r="F131" s="404" t="n"/>
      <c r="G131" s="420" t="n"/>
      <c r="H131" s="406" t="n"/>
      <c r="I131" s="407" t="n"/>
      <c r="J131" s="408" t="n"/>
      <c r="K131" s="409" t="n"/>
      <c r="L131" s="391" t="n"/>
      <c r="M131" s="399" t="n"/>
      <c r="N131" s="410" t="n"/>
      <c r="O131" s="399" t="n"/>
      <c r="P131" s="411" t="n"/>
      <c r="Q131" s="399" t="n"/>
      <c r="R131" s="412" t="n"/>
      <c r="S131" s="399" t="n"/>
      <c r="T131" s="417" t="n"/>
      <c r="U131" s="391" t="n"/>
      <c r="V131" s="391" t="n"/>
      <c r="W131" s="399" t="n"/>
      <c r="X131" s="217" t="n"/>
      <c r="Y131" s="414">
        <f>G131-H131-I131</f>
        <v/>
      </c>
      <c r="Z131" s="414">
        <f>H131+I131</f>
        <v/>
      </c>
      <c r="AA131" s="414">
        <f>H131*N131</f>
        <v/>
      </c>
      <c r="AB131" s="123" t="n"/>
      <c r="AC131" s="123" t="n"/>
      <c r="AD131" s="123" t="n"/>
      <c r="AE131" s="123" t="n"/>
      <c r="AF131" s="123" t="n"/>
      <c r="AG131" s="123" t="n"/>
      <c r="AH131" s="123" t="n"/>
      <c r="AI131" s="123" t="n"/>
    </row>
    <row r="132" ht="27" customFormat="1" customHeight="1" s="3">
      <c r="A132" s="217" t="n"/>
      <c r="B132" s="418" t="n"/>
      <c r="C132" s="419" t="n"/>
      <c r="D132" s="113" t="n"/>
      <c r="E132" s="403" t="n"/>
      <c r="F132" s="404" t="n"/>
      <c r="G132" s="420" t="n"/>
      <c r="H132" s="406" t="n"/>
      <c r="I132" s="407" t="n"/>
      <c r="J132" s="408" t="n"/>
      <c r="K132" s="409" t="n"/>
      <c r="L132" s="391" t="n"/>
      <c r="M132" s="399" t="n"/>
      <c r="N132" s="410" t="n"/>
      <c r="O132" s="399" t="n"/>
      <c r="P132" s="411" t="n"/>
      <c r="Q132" s="399" t="n"/>
      <c r="R132" s="412" t="n"/>
      <c r="S132" s="399" t="n"/>
      <c r="T132" s="417" t="n"/>
      <c r="U132" s="391" t="n"/>
      <c r="V132" s="391" t="n"/>
      <c r="W132" s="399" t="n"/>
      <c r="X132" s="217" t="n"/>
      <c r="Y132" s="414">
        <f>G132-H132-I132</f>
        <v/>
      </c>
      <c r="Z132" s="414">
        <f>H132+I132</f>
        <v/>
      </c>
      <c r="AA132" s="414">
        <f>H132*N132</f>
        <v/>
      </c>
      <c r="AB132" s="123" t="n"/>
      <c r="AC132" s="123" t="n"/>
      <c r="AD132" s="123" t="n"/>
      <c r="AE132" s="123" t="n"/>
      <c r="AF132" s="123" t="n"/>
      <c r="AG132" s="123" t="n"/>
      <c r="AH132" s="123" t="n"/>
      <c r="AI132" s="123" t="n"/>
    </row>
    <row r="133" ht="27" customFormat="1" customHeight="1" s="3">
      <c r="A133" s="217" t="n"/>
      <c r="B133" s="418" t="n"/>
      <c r="C133" s="419" t="n"/>
      <c r="D133" s="113" t="n"/>
      <c r="E133" s="403" t="n"/>
      <c r="F133" s="404" t="n"/>
      <c r="G133" s="420" t="n"/>
      <c r="H133" s="406" t="n"/>
      <c r="I133" s="407" t="n"/>
      <c r="J133" s="408" t="n"/>
      <c r="K133" s="409" t="n"/>
      <c r="L133" s="391" t="n"/>
      <c r="M133" s="399" t="n"/>
      <c r="N133" s="410" t="n"/>
      <c r="O133" s="399" t="n"/>
      <c r="P133" s="411" t="n"/>
      <c r="Q133" s="399" t="n"/>
      <c r="R133" s="412" t="n"/>
      <c r="S133" s="399" t="n"/>
      <c r="T133" s="417" t="n"/>
      <c r="U133" s="391" t="n"/>
      <c r="V133" s="391" t="n"/>
      <c r="W133" s="399" t="n"/>
      <c r="X133" s="217" t="n"/>
      <c r="Y133" s="414">
        <f>G133-H133-I133</f>
        <v/>
      </c>
      <c r="Z133" s="414">
        <f>H133+I133</f>
        <v/>
      </c>
      <c r="AA133" s="414">
        <f>H133*N133</f>
        <v/>
      </c>
      <c r="AB133" s="123" t="n"/>
      <c r="AC133" s="123" t="n"/>
      <c r="AD133" s="123" t="n"/>
      <c r="AE133" s="123" t="n"/>
      <c r="AF133" s="123" t="n"/>
      <c r="AG133" s="123" t="n"/>
      <c r="AH133" s="123" t="n"/>
      <c r="AI133" s="123" t="n"/>
    </row>
    <row r="134" ht="27" customFormat="1" customHeight="1" s="3">
      <c r="A134" s="217" t="n"/>
      <c r="B134" s="418" t="n"/>
      <c r="C134" s="419" t="n"/>
      <c r="D134" s="113" t="n"/>
      <c r="E134" s="403" t="n"/>
      <c r="F134" s="404" t="n"/>
      <c r="G134" s="420" t="n"/>
      <c r="H134" s="406" t="n"/>
      <c r="I134" s="407" t="n"/>
      <c r="J134" s="408" t="n"/>
      <c r="K134" s="409" t="n"/>
      <c r="L134" s="391" t="n"/>
      <c r="M134" s="399" t="n"/>
      <c r="N134" s="410" t="n"/>
      <c r="O134" s="399" t="n"/>
      <c r="P134" s="411" t="n"/>
      <c r="Q134" s="399" t="n"/>
      <c r="R134" s="412" t="n"/>
      <c r="S134" s="399" t="n"/>
      <c r="T134" s="417" t="n"/>
      <c r="U134" s="391" t="n"/>
      <c r="V134" s="391" t="n"/>
      <c r="W134" s="399" t="n"/>
      <c r="X134" s="217" t="n"/>
      <c r="Y134" s="414">
        <f>G134-H134-I134</f>
        <v/>
      </c>
      <c r="Z134" s="414">
        <f>H134+I134</f>
        <v/>
      </c>
      <c r="AA134" s="414">
        <f>H134*N134</f>
        <v/>
      </c>
      <c r="AB134" s="123" t="n"/>
      <c r="AC134" s="123" t="n"/>
      <c r="AD134" s="123" t="n"/>
      <c r="AE134" s="123" t="n"/>
      <c r="AF134" s="123" t="n"/>
      <c r="AG134" s="123" t="n"/>
      <c r="AH134" s="123" t="n"/>
      <c r="AI134" s="123" t="n"/>
    </row>
    <row r="135" ht="27" customFormat="1" customHeight="1" s="3">
      <c r="A135" s="217" t="n"/>
      <c r="B135" s="418" t="n"/>
      <c r="C135" s="419" t="n"/>
      <c r="D135" s="113" t="n"/>
      <c r="E135" s="403" t="n"/>
      <c r="F135" s="404" t="n"/>
      <c r="G135" s="420" t="n"/>
      <c r="H135" s="406" t="n"/>
      <c r="I135" s="407" t="n"/>
      <c r="J135" s="408" t="n"/>
      <c r="K135" s="409" t="n"/>
      <c r="L135" s="391" t="n"/>
      <c r="M135" s="399" t="n"/>
      <c r="N135" s="410" t="n"/>
      <c r="O135" s="399" t="n"/>
      <c r="P135" s="411" t="n"/>
      <c r="Q135" s="399" t="n"/>
      <c r="R135" s="412" t="n"/>
      <c r="S135" s="399" t="n"/>
      <c r="T135" s="417" t="n"/>
      <c r="U135" s="391" t="n"/>
      <c r="V135" s="391" t="n"/>
      <c r="W135" s="399" t="n"/>
      <c r="X135" s="217" t="n"/>
      <c r="Y135" s="414">
        <f>G135-H135-I135</f>
        <v/>
      </c>
      <c r="Z135" s="414">
        <f>H135+I135</f>
        <v/>
      </c>
      <c r="AA135" s="414">
        <f>H135*N135</f>
        <v/>
      </c>
      <c r="AB135" s="123" t="n"/>
      <c r="AC135" s="123" t="n"/>
      <c r="AD135" s="123" t="n"/>
      <c r="AE135" s="123" t="n"/>
      <c r="AF135" s="123" t="n"/>
      <c r="AG135" s="123" t="n"/>
      <c r="AH135" s="123" t="n"/>
      <c r="AI135" s="123" t="n"/>
    </row>
    <row r="136" ht="27" customFormat="1" customHeight="1" s="3">
      <c r="A136" s="217" t="n"/>
      <c r="B136" s="418" t="n"/>
      <c r="C136" s="419" t="n"/>
      <c r="D136" s="113" t="n"/>
      <c r="E136" s="403" t="n"/>
      <c r="F136" s="404" t="n"/>
      <c r="G136" s="420" t="n"/>
      <c r="H136" s="406" t="n"/>
      <c r="I136" s="407" t="n"/>
      <c r="J136" s="408" t="n"/>
      <c r="K136" s="409" t="n"/>
      <c r="L136" s="391" t="n"/>
      <c r="M136" s="399" t="n"/>
      <c r="N136" s="410" t="n"/>
      <c r="O136" s="399" t="n"/>
      <c r="P136" s="411" t="n"/>
      <c r="Q136" s="399" t="n"/>
      <c r="R136" s="412" t="n"/>
      <c r="S136" s="399" t="n"/>
      <c r="T136" s="417" t="n"/>
      <c r="U136" s="391" t="n"/>
      <c r="V136" s="391" t="n"/>
      <c r="W136" s="399" t="n"/>
      <c r="X136" s="217" t="n"/>
      <c r="Y136" s="414">
        <f>G136-H136-I136</f>
        <v/>
      </c>
      <c r="Z136" s="414">
        <f>H136+I136</f>
        <v/>
      </c>
      <c r="AA136" s="414">
        <f>H136*N136</f>
        <v/>
      </c>
      <c r="AB136" s="123" t="n"/>
      <c r="AC136" s="123" t="n"/>
      <c r="AD136" s="123" t="n"/>
      <c r="AE136" s="123" t="n"/>
      <c r="AF136" s="123" t="n"/>
      <c r="AG136" s="123" t="n"/>
      <c r="AH136" s="123" t="n"/>
      <c r="AI136" s="123" t="n"/>
    </row>
    <row r="137" ht="27" customFormat="1" customHeight="1" s="3">
      <c r="A137" s="217" t="n"/>
      <c r="B137" s="418" t="n"/>
      <c r="C137" s="419" t="n"/>
      <c r="D137" s="113" t="n"/>
      <c r="E137" s="403" t="n"/>
      <c r="F137" s="404" t="n"/>
      <c r="G137" s="420" t="n"/>
      <c r="H137" s="406" t="n"/>
      <c r="I137" s="407" t="n"/>
      <c r="J137" s="408" t="n"/>
      <c r="K137" s="409" t="n"/>
      <c r="L137" s="391" t="n"/>
      <c r="M137" s="399" t="n"/>
      <c r="N137" s="410" t="n"/>
      <c r="O137" s="399" t="n"/>
      <c r="P137" s="411" t="n"/>
      <c r="Q137" s="399" t="n"/>
      <c r="R137" s="412" t="n"/>
      <c r="S137" s="399" t="n"/>
      <c r="T137" s="417" t="n"/>
      <c r="U137" s="391" t="n"/>
      <c r="V137" s="391" t="n"/>
      <c r="W137" s="399" t="n"/>
      <c r="X137" s="217" t="n"/>
      <c r="Y137" s="414">
        <f>G137-H137-I137</f>
        <v/>
      </c>
      <c r="Z137" s="414">
        <f>H137+I137</f>
        <v/>
      </c>
      <c r="AA137" s="414">
        <f>H137*N137</f>
        <v/>
      </c>
      <c r="AB137" s="123" t="n"/>
      <c r="AC137" s="123" t="n"/>
      <c r="AD137" s="123" t="n"/>
      <c r="AE137" s="123" t="n"/>
      <c r="AF137" s="123" t="n"/>
      <c r="AG137" s="123" t="n"/>
      <c r="AH137" s="123" t="n"/>
      <c r="AI137" s="123" t="n"/>
    </row>
    <row r="138" ht="27" customFormat="1" customHeight="1" s="3">
      <c r="A138" s="217" t="n"/>
      <c r="B138" s="418" t="n"/>
      <c r="C138" s="419" t="n"/>
      <c r="D138" s="113" t="n"/>
      <c r="E138" s="403" t="n"/>
      <c r="F138" s="404" t="n"/>
      <c r="G138" s="420" t="n"/>
      <c r="H138" s="406" t="n"/>
      <c r="I138" s="407" t="n"/>
      <c r="J138" s="408" t="n"/>
      <c r="K138" s="409" t="n"/>
      <c r="L138" s="391" t="n"/>
      <c r="M138" s="399" t="n"/>
      <c r="N138" s="410" t="n"/>
      <c r="O138" s="399" t="n"/>
      <c r="P138" s="411" t="n"/>
      <c r="Q138" s="399" t="n"/>
      <c r="R138" s="412" t="n"/>
      <c r="S138" s="399" t="n"/>
      <c r="T138" s="417" t="n"/>
      <c r="U138" s="391" t="n"/>
      <c r="V138" s="391" t="n"/>
      <c r="W138" s="399" t="n"/>
      <c r="X138" s="217" t="n"/>
      <c r="Y138" s="414">
        <f>G138-H138-I138</f>
        <v/>
      </c>
      <c r="Z138" s="414">
        <f>H138+I138</f>
        <v/>
      </c>
      <c r="AA138" s="414">
        <f>H138*N138</f>
        <v/>
      </c>
      <c r="AB138" s="123" t="n"/>
      <c r="AC138" s="123" t="n"/>
      <c r="AD138" s="123" t="n"/>
      <c r="AE138" s="123" t="n"/>
      <c r="AF138" s="123" t="n"/>
      <c r="AG138" s="123" t="n"/>
      <c r="AH138" s="123" t="n"/>
      <c r="AI138" s="123" t="n"/>
    </row>
    <row r="139" ht="27" customFormat="1" customHeight="1" s="3">
      <c r="A139" s="217" t="n"/>
      <c r="B139" s="418" t="n"/>
      <c r="C139" s="419" t="n"/>
      <c r="D139" s="113" t="n"/>
      <c r="E139" s="403" t="n"/>
      <c r="F139" s="404" t="n"/>
      <c r="G139" s="420" t="n"/>
      <c r="H139" s="406" t="n"/>
      <c r="I139" s="407" t="n"/>
      <c r="J139" s="408" t="n"/>
      <c r="K139" s="409" t="n"/>
      <c r="L139" s="391" t="n"/>
      <c r="M139" s="399" t="n"/>
      <c r="N139" s="410" t="n"/>
      <c r="O139" s="399" t="n"/>
      <c r="P139" s="411" t="n"/>
      <c r="Q139" s="399" t="n"/>
      <c r="R139" s="412" t="n"/>
      <c r="S139" s="399" t="n"/>
      <c r="T139" s="417" t="n"/>
      <c r="U139" s="391" t="n"/>
      <c r="V139" s="391" t="n"/>
      <c r="W139" s="399" t="n"/>
      <c r="X139" s="217" t="n"/>
      <c r="Y139" s="414">
        <f>G139-H139-I139</f>
        <v/>
      </c>
      <c r="Z139" s="414">
        <f>H139+I139</f>
        <v/>
      </c>
      <c r="AA139" s="414">
        <f>H139*N139</f>
        <v/>
      </c>
      <c r="AB139" s="123" t="n"/>
      <c r="AC139" s="123" t="n"/>
      <c r="AD139" s="123" t="n"/>
      <c r="AE139" s="123" t="n"/>
      <c r="AF139" s="123" t="n"/>
      <c r="AG139" s="123" t="n"/>
      <c r="AH139" s="123" t="n"/>
      <c r="AI139" s="123" t="n"/>
    </row>
    <row r="140" ht="27" customFormat="1" customHeight="1" s="3">
      <c r="A140" s="217" t="n"/>
      <c r="B140" s="418" t="n"/>
      <c r="C140" s="419" t="n"/>
      <c r="D140" s="113" t="n"/>
      <c r="E140" s="403" t="n"/>
      <c r="F140" s="404" t="n"/>
      <c r="G140" s="420" t="n"/>
      <c r="H140" s="406" t="n"/>
      <c r="I140" s="407" t="n"/>
      <c r="J140" s="408" t="n"/>
      <c r="K140" s="409" t="n"/>
      <c r="L140" s="391" t="n"/>
      <c r="M140" s="399" t="n"/>
      <c r="N140" s="410" t="n"/>
      <c r="O140" s="399" t="n"/>
      <c r="P140" s="411" t="n"/>
      <c r="Q140" s="399" t="n"/>
      <c r="R140" s="412" t="n"/>
      <c r="S140" s="399" t="n"/>
      <c r="T140" s="417" t="n"/>
      <c r="U140" s="391" t="n"/>
      <c r="V140" s="391" t="n"/>
      <c r="W140" s="399" t="n"/>
      <c r="X140" s="217" t="n"/>
      <c r="Y140" s="414">
        <f>G140-H140-I140</f>
        <v/>
      </c>
      <c r="Z140" s="414">
        <f>H140+I140</f>
        <v/>
      </c>
      <c r="AA140" s="414">
        <f>H140*N140</f>
        <v/>
      </c>
      <c r="AB140" s="123" t="n"/>
      <c r="AC140" s="123" t="n"/>
      <c r="AD140" s="123" t="n"/>
      <c r="AE140" s="123" t="n"/>
      <c r="AF140" s="123" t="n"/>
      <c r="AG140" s="123" t="n"/>
      <c r="AH140" s="123" t="n"/>
      <c r="AI140" s="123" t="n"/>
    </row>
    <row r="141" ht="27" customFormat="1" customHeight="1" s="3">
      <c r="A141" s="217" t="n"/>
      <c r="B141" s="418" t="n"/>
      <c r="C141" s="419" t="n"/>
      <c r="D141" s="113" t="n"/>
      <c r="E141" s="403" t="n"/>
      <c r="F141" s="404" t="n"/>
      <c r="G141" s="420" t="n"/>
      <c r="H141" s="406" t="n"/>
      <c r="I141" s="407" t="n"/>
      <c r="J141" s="408" t="n"/>
      <c r="K141" s="409" t="n"/>
      <c r="L141" s="391" t="n"/>
      <c r="M141" s="399" t="n"/>
      <c r="N141" s="410" t="n"/>
      <c r="O141" s="399" t="n"/>
      <c r="P141" s="411" t="n"/>
      <c r="Q141" s="399" t="n"/>
      <c r="R141" s="412" t="n"/>
      <c r="S141" s="399" t="n"/>
      <c r="T141" s="417" t="n"/>
      <c r="U141" s="391" t="n"/>
      <c r="V141" s="391" t="n"/>
      <c r="W141" s="399" t="n"/>
      <c r="X141" s="217" t="n"/>
      <c r="Y141" s="414">
        <f>G141-H141-I141</f>
        <v/>
      </c>
      <c r="Z141" s="414">
        <f>H141+I141</f>
        <v/>
      </c>
      <c r="AA141" s="414">
        <f>H141*N141</f>
        <v/>
      </c>
      <c r="AB141" s="123" t="n"/>
      <c r="AC141" s="123" t="n"/>
      <c r="AD141" s="123" t="n"/>
      <c r="AE141" s="123" t="n"/>
      <c r="AF141" s="123" t="n"/>
      <c r="AG141" s="123" t="n"/>
      <c r="AH141" s="123" t="n"/>
      <c r="AI141" s="123" t="n"/>
    </row>
    <row r="142" ht="27" customFormat="1" customHeight="1" s="3">
      <c r="A142" s="217" t="n"/>
      <c r="B142" s="418" t="n"/>
      <c r="C142" s="419" t="n"/>
      <c r="D142" s="113" t="n"/>
      <c r="E142" s="403" t="n"/>
      <c r="F142" s="404" t="n"/>
      <c r="G142" s="420" t="n"/>
      <c r="H142" s="406" t="n"/>
      <c r="I142" s="407" t="n"/>
      <c r="J142" s="408" t="n"/>
      <c r="K142" s="409" t="n"/>
      <c r="L142" s="391" t="n"/>
      <c r="M142" s="399" t="n"/>
      <c r="N142" s="410" t="n"/>
      <c r="O142" s="399" t="n"/>
      <c r="P142" s="411" t="n"/>
      <c r="Q142" s="399" t="n"/>
      <c r="R142" s="412" t="n"/>
      <c r="S142" s="399" t="n"/>
      <c r="T142" s="417" t="n"/>
      <c r="U142" s="391" t="n"/>
      <c r="V142" s="391" t="n"/>
      <c r="W142" s="399" t="n"/>
      <c r="X142" s="217" t="n"/>
      <c r="Y142" s="414">
        <f>G142-H142-I142</f>
        <v/>
      </c>
      <c r="Z142" s="414">
        <f>H142+I142</f>
        <v/>
      </c>
      <c r="AA142" s="414">
        <f>H142*N142</f>
        <v/>
      </c>
      <c r="AB142" s="123" t="n"/>
      <c r="AC142" s="123" t="n"/>
      <c r="AD142" s="123" t="n"/>
      <c r="AE142" s="123" t="n"/>
      <c r="AF142" s="123" t="n"/>
      <c r="AG142" s="123" t="n"/>
      <c r="AH142" s="123" t="n"/>
      <c r="AI142" s="123" t="n"/>
    </row>
    <row r="143" ht="27" customFormat="1" customHeight="1" s="3">
      <c r="A143" s="217" t="n"/>
      <c r="B143" s="418" t="n"/>
      <c r="C143" s="419" t="n"/>
      <c r="D143" s="113" t="n"/>
      <c r="E143" s="403" t="n"/>
      <c r="F143" s="404" t="n"/>
      <c r="G143" s="420" t="n"/>
      <c r="H143" s="406" t="n"/>
      <c r="I143" s="407" t="n"/>
      <c r="J143" s="408" t="n"/>
      <c r="K143" s="409" t="n"/>
      <c r="L143" s="391" t="n"/>
      <c r="M143" s="399" t="n"/>
      <c r="N143" s="410" t="n"/>
      <c r="O143" s="399" t="n"/>
      <c r="P143" s="411" t="n"/>
      <c r="Q143" s="399" t="n"/>
      <c r="R143" s="412" t="n"/>
      <c r="S143" s="399" t="n"/>
      <c r="T143" s="417" t="n"/>
      <c r="U143" s="391" t="n"/>
      <c r="V143" s="391" t="n"/>
      <c r="W143" s="399" t="n"/>
      <c r="X143" s="217" t="n"/>
      <c r="Y143" s="414">
        <f>G143-H143-I143</f>
        <v/>
      </c>
      <c r="Z143" s="414">
        <f>H143+I143</f>
        <v/>
      </c>
      <c r="AA143" s="414">
        <f>H143*N143</f>
        <v/>
      </c>
      <c r="AB143" s="123" t="n"/>
      <c r="AC143" s="123" t="n"/>
      <c r="AD143" s="123" t="n"/>
      <c r="AE143" s="123" t="n"/>
      <c r="AF143" s="123" t="n"/>
      <c r="AG143" s="123" t="n"/>
      <c r="AH143" s="123" t="n"/>
      <c r="AI143" s="123" t="n"/>
    </row>
    <row r="144" ht="27" customFormat="1" customHeight="1" s="3">
      <c r="A144" s="217" t="n"/>
      <c r="B144" s="418" t="n"/>
      <c r="C144" s="419" t="n"/>
      <c r="D144" s="113" t="n"/>
      <c r="E144" s="403" t="n"/>
      <c r="F144" s="404" t="n"/>
      <c r="G144" s="420" t="n"/>
      <c r="H144" s="406" t="n"/>
      <c r="I144" s="407" t="n"/>
      <c r="J144" s="408" t="n"/>
      <c r="K144" s="409" t="n"/>
      <c r="L144" s="391" t="n"/>
      <c r="M144" s="399" t="n"/>
      <c r="N144" s="410" t="n"/>
      <c r="O144" s="399" t="n"/>
      <c r="P144" s="411" t="n"/>
      <c r="Q144" s="399" t="n"/>
      <c r="R144" s="412" t="n"/>
      <c r="S144" s="399" t="n"/>
      <c r="T144" s="417" t="n"/>
      <c r="U144" s="391" t="n"/>
      <c r="V144" s="391" t="n"/>
      <c r="W144" s="399" t="n"/>
      <c r="X144" s="217" t="n"/>
      <c r="Y144" s="414">
        <f>G144-H144-I144</f>
        <v/>
      </c>
      <c r="Z144" s="414">
        <f>H144+I144</f>
        <v/>
      </c>
      <c r="AA144" s="414">
        <f>H144*N144</f>
        <v/>
      </c>
      <c r="AB144" s="123" t="n"/>
      <c r="AC144" s="123" t="n"/>
      <c r="AD144" s="123" t="n"/>
      <c r="AE144" s="123" t="n"/>
      <c r="AF144" s="123" t="n"/>
      <c r="AG144" s="123" t="n"/>
      <c r="AH144" s="123" t="n"/>
      <c r="AI144" s="123" t="n"/>
    </row>
    <row r="145" ht="27" customFormat="1" customHeight="1" s="3">
      <c r="A145" s="217" t="n"/>
      <c r="B145" s="418" t="n"/>
      <c r="C145" s="419" t="n"/>
      <c r="D145" s="113" t="n"/>
      <c r="E145" s="403" t="n"/>
      <c r="F145" s="404" t="n"/>
      <c r="G145" s="420" t="n"/>
      <c r="H145" s="406" t="n"/>
      <c r="I145" s="407" t="n"/>
      <c r="J145" s="408" t="n"/>
      <c r="K145" s="409" t="n"/>
      <c r="L145" s="391" t="n"/>
      <c r="M145" s="399" t="n"/>
      <c r="N145" s="410" t="n"/>
      <c r="O145" s="399" t="n"/>
      <c r="P145" s="411" t="n"/>
      <c r="Q145" s="399" t="n"/>
      <c r="R145" s="412" t="n"/>
      <c r="S145" s="399" t="n"/>
      <c r="T145" s="417" t="n"/>
      <c r="U145" s="391" t="n"/>
      <c r="V145" s="391" t="n"/>
      <c r="W145" s="399" t="n"/>
      <c r="X145" s="217" t="n"/>
      <c r="Y145" s="414">
        <f>G145-H145-I145</f>
        <v/>
      </c>
      <c r="Z145" s="414">
        <f>H145+I145</f>
        <v/>
      </c>
      <c r="AA145" s="414">
        <f>H145*N145</f>
        <v/>
      </c>
      <c r="AB145" s="123" t="n"/>
      <c r="AC145" s="123" t="n"/>
      <c r="AD145" s="123" t="n"/>
      <c r="AE145" s="123" t="n"/>
      <c r="AF145" s="123" t="n"/>
      <c r="AG145" s="123" t="n"/>
      <c r="AH145" s="123" t="n"/>
      <c r="AI145" s="123" t="n"/>
    </row>
    <row r="146" ht="27" customFormat="1" customHeight="1" s="3">
      <c r="A146" s="217" t="n"/>
      <c r="B146" s="418" t="n"/>
      <c r="C146" s="419" t="n"/>
      <c r="D146" s="113" t="n"/>
      <c r="E146" s="403" t="n"/>
      <c r="F146" s="404" t="n"/>
      <c r="G146" s="420" t="n"/>
      <c r="H146" s="406" t="n"/>
      <c r="I146" s="407" t="n"/>
      <c r="J146" s="408" t="n"/>
      <c r="K146" s="409" t="n"/>
      <c r="L146" s="391" t="n"/>
      <c r="M146" s="399" t="n"/>
      <c r="N146" s="410" t="n"/>
      <c r="O146" s="399" t="n"/>
      <c r="P146" s="411" t="n"/>
      <c r="Q146" s="399" t="n"/>
      <c r="R146" s="412" t="n"/>
      <c r="S146" s="399" t="n"/>
      <c r="T146" s="417" t="n"/>
      <c r="U146" s="391" t="n"/>
      <c r="V146" s="391" t="n"/>
      <c r="W146" s="399" t="n"/>
      <c r="X146" s="217" t="n"/>
      <c r="Y146" s="414">
        <f>G146-H146-I146</f>
        <v/>
      </c>
      <c r="Z146" s="414">
        <f>H146+I146</f>
        <v/>
      </c>
      <c r="AA146" s="414">
        <f>H146*N146</f>
        <v/>
      </c>
      <c r="AB146" s="123" t="n"/>
      <c r="AC146" s="123" t="n"/>
      <c r="AD146" s="123" t="n"/>
      <c r="AE146" s="123" t="n"/>
      <c r="AF146" s="123" t="n"/>
      <c r="AG146" s="123" t="n"/>
      <c r="AH146" s="123" t="n"/>
      <c r="AI146" s="123" t="n"/>
    </row>
    <row r="147" ht="27" customFormat="1" customHeight="1" s="3">
      <c r="A147" s="217" t="n"/>
      <c r="B147" s="418" t="n"/>
      <c r="C147" s="419" t="n"/>
      <c r="D147" s="113" t="n"/>
      <c r="E147" s="403" t="n"/>
      <c r="F147" s="404" t="n"/>
      <c r="G147" s="420" t="n"/>
      <c r="H147" s="406" t="n"/>
      <c r="I147" s="407" t="n"/>
      <c r="J147" s="408" t="n"/>
      <c r="K147" s="409" t="n"/>
      <c r="L147" s="391" t="n"/>
      <c r="M147" s="399" t="n"/>
      <c r="N147" s="410" t="n"/>
      <c r="O147" s="399" t="n"/>
      <c r="P147" s="411" t="n"/>
      <c r="Q147" s="399" t="n"/>
      <c r="R147" s="412" t="n"/>
      <c r="S147" s="399" t="n"/>
      <c r="T147" s="417" t="n"/>
      <c r="U147" s="391" t="n"/>
      <c r="V147" s="391" t="n"/>
      <c r="W147" s="399" t="n"/>
      <c r="X147" s="217" t="n"/>
      <c r="Y147" s="414">
        <f>G147-H147-I147</f>
        <v/>
      </c>
      <c r="Z147" s="414">
        <f>H147+I147</f>
        <v/>
      </c>
      <c r="AA147" s="414">
        <f>H147*N147</f>
        <v/>
      </c>
      <c r="AB147" s="123" t="n"/>
      <c r="AC147" s="123" t="n"/>
      <c r="AD147" s="123" t="n"/>
      <c r="AE147" s="123" t="n"/>
      <c r="AF147" s="123" t="n"/>
      <c r="AG147" s="123" t="n"/>
      <c r="AH147" s="123" t="n"/>
      <c r="AI147" s="123" t="n"/>
    </row>
    <row r="148" ht="27" customFormat="1" customHeight="1" s="3">
      <c r="A148" s="217" t="n"/>
      <c r="B148" s="418" t="n"/>
      <c r="C148" s="419" t="n"/>
      <c r="D148" s="113" t="n"/>
      <c r="E148" s="403" t="n"/>
      <c r="F148" s="404" t="n"/>
      <c r="G148" s="420" t="n"/>
      <c r="H148" s="406" t="n"/>
      <c r="I148" s="407" t="n"/>
      <c r="J148" s="408" t="n"/>
      <c r="K148" s="409" t="n"/>
      <c r="L148" s="391" t="n"/>
      <c r="M148" s="399" t="n"/>
      <c r="N148" s="410" t="n"/>
      <c r="O148" s="399" t="n"/>
      <c r="P148" s="411" t="n"/>
      <c r="Q148" s="399" t="n"/>
      <c r="R148" s="412" t="n"/>
      <c r="S148" s="399" t="n"/>
      <c r="T148" s="417" t="n"/>
      <c r="U148" s="391" t="n"/>
      <c r="V148" s="391" t="n"/>
      <c r="W148" s="399" t="n"/>
      <c r="X148" s="217" t="n"/>
      <c r="Y148" s="414">
        <f>G148-H148-I148</f>
        <v/>
      </c>
      <c r="Z148" s="414">
        <f>H148+I148</f>
        <v/>
      </c>
      <c r="AA148" s="414">
        <f>H148*N148</f>
        <v/>
      </c>
      <c r="AB148" s="123" t="n"/>
      <c r="AC148" s="123" t="n"/>
      <c r="AD148" s="123" t="n"/>
      <c r="AE148" s="123" t="n"/>
      <c r="AF148" s="123" t="n"/>
      <c r="AG148" s="123" t="n"/>
      <c r="AH148" s="123" t="n"/>
      <c r="AI148" s="123" t="n"/>
    </row>
    <row r="149" ht="27" customFormat="1" customHeight="1" s="3">
      <c r="A149" s="217" t="n"/>
      <c r="B149" s="418" t="n"/>
      <c r="C149" s="419" t="n"/>
      <c r="D149" s="113" t="n"/>
      <c r="E149" s="403" t="n"/>
      <c r="F149" s="404" t="n"/>
      <c r="G149" s="420" t="n"/>
      <c r="H149" s="406" t="n"/>
      <c r="I149" s="407" t="n"/>
      <c r="J149" s="408" t="n"/>
      <c r="K149" s="409" t="n"/>
      <c r="L149" s="391" t="n"/>
      <c r="M149" s="399" t="n"/>
      <c r="N149" s="410" t="n"/>
      <c r="O149" s="399" t="n"/>
      <c r="P149" s="411" t="n"/>
      <c r="Q149" s="399" t="n"/>
      <c r="R149" s="412" t="n"/>
      <c r="S149" s="399" t="n"/>
      <c r="T149" s="417" t="n"/>
      <c r="U149" s="391" t="n"/>
      <c r="V149" s="391" t="n"/>
      <c r="W149" s="399" t="n"/>
      <c r="X149" s="217" t="n"/>
      <c r="Y149" s="414">
        <f>G149-H149-I149</f>
        <v/>
      </c>
      <c r="Z149" s="414">
        <f>H149+I149</f>
        <v/>
      </c>
      <c r="AA149" s="414">
        <f>H149*N149</f>
        <v/>
      </c>
      <c r="AB149" s="123" t="n"/>
      <c r="AC149" s="123" t="n"/>
      <c r="AD149" s="123" t="n"/>
      <c r="AE149" s="123" t="n"/>
      <c r="AF149" s="123" t="n"/>
      <c r="AG149" s="123" t="n"/>
      <c r="AH149" s="123" t="n"/>
      <c r="AI149" s="123" t="n"/>
    </row>
    <row r="150" ht="27" customFormat="1" customHeight="1" s="3">
      <c r="A150" s="217" t="n"/>
      <c r="B150" s="418" t="n"/>
      <c r="C150" s="419" t="n"/>
      <c r="D150" s="113" t="n"/>
      <c r="E150" s="403" t="n"/>
      <c r="F150" s="404" t="n"/>
      <c r="G150" s="420" t="n"/>
      <c r="H150" s="406" t="n"/>
      <c r="I150" s="407" t="n"/>
      <c r="J150" s="408" t="n"/>
      <c r="K150" s="409" t="n"/>
      <c r="L150" s="391" t="n"/>
      <c r="M150" s="399" t="n"/>
      <c r="N150" s="410" t="n"/>
      <c r="O150" s="399" t="n"/>
      <c r="P150" s="411" t="n"/>
      <c r="Q150" s="399" t="n"/>
      <c r="R150" s="412" t="n"/>
      <c r="S150" s="399" t="n"/>
      <c r="T150" s="417" t="n"/>
      <c r="U150" s="391" t="n"/>
      <c r="V150" s="391" t="n"/>
      <c r="W150" s="399" t="n"/>
      <c r="X150" s="217" t="n"/>
      <c r="Y150" s="414">
        <f>G150-H150-I150</f>
        <v/>
      </c>
      <c r="Z150" s="414">
        <f>H150+I150</f>
        <v/>
      </c>
      <c r="AA150" s="414">
        <f>H150*N150</f>
        <v/>
      </c>
      <c r="AB150" s="123" t="n"/>
      <c r="AC150" s="123" t="n"/>
      <c r="AD150" s="123" t="n"/>
      <c r="AE150" s="123" t="n"/>
      <c r="AF150" s="123" t="n"/>
      <c r="AG150" s="123" t="n"/>
      <c r="AH150" s="123" t="n"/>
      <c r="AI150" s="123" t="n"/>
    </row>
    <row r="151" ht="27" customFormat="1" customHeight="1" s="3">
      <c r="A151" s="217" t="n"/>
      <c r="B151" s="418" t="n"/>
      <c r="C151" s="419" t="n"/>
      <c r="D151" s="113" t="n"/>
      <c r="E151" s="403" t="n"/>
      <c r="F151" s="404" t="n"/>
      <c r="G151" s="420" t="n"/>
      <c r="H151" s="406" t="n"/>
      <c r="I151" s="407" t="n"/>
      <c r="J151" s="408" t="n"/>
      <c r="K151" s="409" t="n"/>
      <c r="L151" s="391" t="n"/>
      <c r="M151" s="399" t="n"/>
      <c r="N151" s="410" t="n"/>
      <c r="O151" s="399" t="n"/>
      <c r="P151" s="411" t="n"/>
      <c r="Q151" s="399" t="n"/>
      <c r="R151" s="412" t="n"/>
      <c r="S151" s="399" t="n"/>
      <c r="T151" s="417" t="n"/>
      <c r="U151" s="391" t="n"/>
      <c r="V151" s="391" t="n"/>
      <c r="W151" s="399" t="n"/>
      <c r="X151" s="217" t="n"/>
      <c r="Y151" s="414">
        <f>G151-H151-I151</f>
        <v/>
      </c>
      <c r="Z151" s="414">
        <f>H151+I151</f>
        <v/>
      </c>
      <c r="AA151" s="414">
        <f>H151*N151</f>
        <v/>
      </c>
      <c r="AB151" s="123" t="n"/>
      <c r="AC151" s="123" t="n"/>
      <c r="AD151" s="123" t="n"/>
      <c r="AE151" s="123" t="n"/>
      <c r="AF151" s="123" t="n"/>
      <c r="AG151" s="123" t="n"/>
      <c r="AH151" s="123" t="n"/>
      <c r="AI151" s="123" t="n"/>
    </row>
    <row r="152" ht="27" customFormat="1" customHeight="1" s="3">
      <c r="A152" s="217" t="n"/>
      <c r="B152" s="418" t="n"/>
      <c r="C152" s="419" t="n"/>
      <c r="D152" s="113" t="n"/>
      <c r="E152" s="403" t="n"/>
      <c r="F152" s="404" t="n"/>
      <c r="G152" s="420" t="n"/>
      <c r="H152" s="406" t="n"/>
      <c r="I152" s="407" t="n"/>
      <c r="J152" s="408" t="n"/>
      <c r="K152" s="409" t="n"/>
      <c r="L152" s="391" t="n"/>
      <c r="M152" s="399" t="n"/>
      <c r="N152" s="410" t="n"/>
      <c r="O152" s="399" t="n"/>
      <c r="P152" s="411" t="n"/>
      <c r="Q152" s="399" t="n"/>
      <c r="R152" s="412" t="n"/>
      <c r="S152" s="399" t="n"/>
      <c r="T152" s="417" t="n"/>
      <c r="U152" s="391" t="n"/>
      <c r="V152" s="391" t="n"/>
      <c r="W152" s="399" t="n"/>
      <c r="X152" s="217" t="n"/>
      <c r="Y152" s="414">
        <f>G152-H152-I152</f>
        <v/>
      </c>
      <c r="Z152" s="414">
        <f>H152+I152</f>
        <v/>
      </c>
      <c r="AA152" s="414">
        <f>H152*N152</f>
        <v/>
      </c>
      <c r="AB152" s="123" t="n"/>
      <c r="AC152" s="123" t="n"/>
      <c r="AD152" s="123" t="n"/>
      <c r="AE152" s="123" t="n"/>
      <c r="AF152" s="123" t="n"/>
      <c r="AG152" s="123" t="n"/>
      <c r="AH152" s="123" t="n"/>
      <c r="AI152" s="123" t="n"/>
    </row>
    <row r="153" ht="27" customFormat="1" customHeight="1" s="3">
      <c r="A153" s="217" t="n"/>
      <c r="B153" s="418" t="n"/>
      <c r="C153" s="419" t="n"/>
      <c r="D153" s="113" t="n"/>
      <c r="E153" s="403" t="n"/>
      <c r="F153" s="404" t="n"/>
      <c r="G153" s="420" t="n"/>
      <c r="H153" s="406" t="n"/>
      <c r="I153" s="407" t="n"/>
      <c r="J153" s="408" t="n"/>
      <c r="K153" s="409" t="n"/>
      <c r="L153" s="391" t="n"/>
      <c r="M153" s="399" t="n"/>
      <c r="N153" s="410" t="n"/>
      <c r="O153" s="399" t="n"/>
      <c r="P153" s="411" t="n"/>
      <c r="Q153" s="399" t="n"/>
      <c r="R153" s="412" t="n"/>
      <c r="S153" s="399" t="n"/>
      <c r="T153" s="417" t="n"/>
      <c r="U153" s="391" t="n"/>
      <c r="V153" s="391" t="n"/>
      <c r="W153" s="399" t="n"/>
      <c r="X153" s="217" t="n"/>
      <c r="Y153" s="414">
        <f>G153-H153-I153</f>
        <v/>
      </c>
      <c r="Z153" s="414">
        <f>H153+I153</f>
        <v/>
      </c>
      <c r="AA153" s="414">
        <f>H153*N153</f>
        <v/>
      </c>
      <c r="AB153" s="123" t="n"/>
      <c r="AC153" s="123" t="n"/>
      <c r="AD153" s="123" t="n"/>
      <c r="AE153" s="123" t="n"/>
      <c r="AF153" s="123" t="n"/>
      <c r="AG153" s="123" t="n"/>
      <c r="AH153" s="123" t="n"/>
      <c r="AI153" s="123" t="n"/>
    </row>
    <row r="154" ht="27" customFormat="1" customHeight="1" s="3">
      <c r="A154" s="217" t="n"/>
      <c r="B154" s="418" t="n"/>
      <c r="C154" s="419" t="n"/>
      <c r="D154" s="113" t="n"/>
      <c r="E154" s="403" t="n"/>
      <c r="F154" s="404" t="n"/>
      <c r="G154" s="420" t="n"/>
      <c r="H154" s="406" t="n"/>
      <c r="I154" s="407" t="n"/>
      <c r="J154" s="408" t="n"/>
      <c r="K154" s="409" t="n"/>
      <c r="L154" s="391" t="n"/>
      <c r="M154" s="399" t="n"/>
      <c r="N154" s="410" t="n"/>
      <c r="O154" s="399" t="n"/>
      <c r="P154" s="411" t="n"/>
      <c r="Q154" s="399" t="n"/>
      <c r="R154" s="412" t="n"/>
      <c r="S154" s="399" t="n"/>
      <c r="T154" s="417" t="n"/>
      <c r="U154" s="391" t="n"/>
      <c r="V154" s="391" t="n"/>
      <c r="W154" s="399" t="n"/>
      <c r="X154" s="217" t="n"/>
      <c r="Y154" s="414">
        <f>G154-H154-I154</f>
        <v/>
      </c>
      <c r="Z154" s="414">
        <f>H154+I154</f>
        <v/>
      </c>
      <c r="AA154" s="414">
        <f>H154*N154</f>
        <v/>
      </c>
      <c r="AB154" s="123" t="n"/>
      <c r="AC154" s="123" t="n"/>
      <c r="AD154" s="123" t="n"/>
      <c r="AE154" s="123" t="n"/>
      <c r="AF154" s="123" t="n"/>
      <c r="AG154" s="123" t="n"/>
      <c r="AH154" s="123" t="n"/>
      <c r="AI154" s="123" t="n"/>
    </row>
    <row r="155" ht="27" customFormat="1" customHeight="1" s="3">
      <c r="A155" s="217" t="n"/>
      <c r="B155" s="418" t="n"/>
      <c r="C155" s="419" t="n"/>
      <c r="D155" s="113" t="n"/>
      <c r="E155" s="403" t="n"/>
      <c r="F155" s="404" t="n"/>
      <c r="G155" s="420" t="n"/>
      <c r="H155" s="406" t="n"/>
      <c r="I155" s="407" t="n"/>
      <c r="J155" s="408" t="n"/>
      <c r="K155" s="409" t="n"/>
      <c r="L155" s="391" t="n"/>
      <c r="M155" s="399" t="n"/>
      <c r="N155" s="410" t="n"/>
      <c r="O155" s="399" t="n"/>
      <c r="P155" s="411" t="n"/>
      <c r="Q155" s="399" t="n"/>
      <c r="R155" s="412" t="n"/>
      <c r="S155" s="399" t="n"/>
      <c r="T155" s="417" t="n"/>
      <c r="U155" s="391" t="n"/>
      <c r="V155" s="391" t="n"/>
      <c r="W155" s="399" t="n"/>
      <c r="X155" s="217" t="n"/>
      <c r="Y155" s="414">
        <f>G155-H155-I155</f>
        <v/>
      </c>
      <c r="Z155" s="414">
        <f>H155+I155</f>
        <v/>
      </c>
      <c r="AA155" s="414">
        <f>H155*N155</f>
        <v/>
      </c>
      <c r="AB155" s="123" t="n"/>
      <c r="AC155" s="123" t="n"/>
      <c r="AD155" s="123" t="n"/>
      <c r="AE155" s="123" t="n"/>
      <c r="AF155" s="123" t="n"/>
      <c r="AG155" s="123" t="n"/>
      <c r="AH155" s="123" t="n"/>
      <c r="AI155" s="123" t="n"/>
    </row>
    <row r="156" ht="27" customFormat="1" customHeight="1" s="3">
      <c r="A156" s="217" t="n"/>
      <c r="B156" s="418" t="n"/>
      <c r="C156" s="419" t="n"/>
      <c r="D156" s="113" t="n"/>
      <c r="E156" s="403" t="n"/>
      <c r="F156" s="404" t="n"/>
      <c r="G156" s="420" t="n"/>
      <c r="H156" s="406" t="n"/>
      <c r="I156" s="407" t="n"/>
      <c r="J156" s="408" t="n"/>
      <c r="K156" s="409" t="n"/>
      <c r="L156" s="391" t="n"/>
      <c r="M156" s="399" t="n"/>
      <c r="N156" s="410" t="n"/>
      <c r="O156" s="399" t="n"/>
      <c r="P156" s="411" t="n"/>
      <c r="Q156" s="399" t="n"/>
      <c r="R156" s="412" t="n"/>
      <c r="S156" s="399" t="n"/>
      <c r="T156" s="417" t="n"/>
      <c r="U156" s="391" t="n"/>
      <c r="V156" s="391" t="n"/>
      <c r="W156" s="399" t="n"/>
      <c r="X156" s="217" t="n"/>
      <c r="Y156" s="414">
        <f>G156-H156-I156</f>
        <v/>
      </c>
      <c r="Z156" s="414">
        <f>H156+I156</f>
        <v/>
      </c>
      <c r="AA156" s="414">
        <f>H156*N156</f>
        <v/>
      </c>
      <c r="AB156" s="123" t="n"/>
      <c r="AC156" s="123" t="n"/>
      <c r="AD156" s="123" t="n"/>
      <c r="AE156" s="123" t="n"/>
      <c r="AF156" s="123" t="n"/>
      <c r="AG156" s="123" t="n"/>
      <c r="AH156" s="123" t="n"/>
      <c r="AI156" s="123" t="n"/>
    </row>
    <row r="157" ht="27" customFormat="1" customHeight="1" s="3">
      <c r="A157" s="217" t="n"/>
      <c r="B157" s="418" t="n"/>
      <c r="C157" s="419" t="n"/>
      <c r="D157" s="113" t="n"/>
      <c r="E157" s="403" t="n"/>
      <c r="F157" s="404" t="n"/>
      <c r="G157" s="420" t="n"/>
      <c r="H157" s="406" t="n"/>
      <c r="I157" s="407" t="n"/>
      <c r="J157" s="408" t="n"/>
      <c r="K157" s="409" t="n"/>
      <c r="L157" s="391" t="n"/>
      <c r="M157" s="399" t="n"/>
      <c r="N157" s="410" t="n"/>
      <c r="O157" s="399" t="n"/>
      <c r="P157" s="411" t="n"/>
      <c r="Q157" s="399" t="n"/>
      <c r="R157" s="412" t="n"/>
      <c r="S157" s="399" t="n"/>
      <c r="T157" s="417" t="n"/>
      <c r="U157" s="391" t="n"/>
      <c r="V157" s="391" t="n"/>
      <c r="W157" s="399" t="n"/>
      <c r="X157" s="217" t="n"/>
      <c r="Y157" s="414">
        <f>G157-H157-I157</f>
        <v/>
      </c>
      <c r="Z157" s="414">
        <f>H157+I157</f>
        <v/>
      </c>
      <c r="AA157" s="414">
        <f>H157*N157</f>
        <v/>
      </c>
      <c r="AB157" s="123" t="n"/>
      <c r="AC157" s="123" t="n"/>
      <c r="AD157" s="123" t="n"/>
      <c r="AE157" s="123" t="n"/>
      <c r="AF157" s="123" t="n"/>
      <c r="AG157" s="123" t="n"/>
      <c r="AH157" s="123" t="n"/>
      <c r="AI157" s="123" t="n"/>
    </row>
    <row r="158" ht="27" customFormat="1" customHeight="1" s="3">
      <c r="A158" s="217" t="n"/>
      <c r="B158" s="418" t="n"/>
      <c r="C158" s="419" t="n"/>
      <c r="D158" s="113" t="n"/>
      <c r="E158" s="403" t="n"/>
      <c r="F158" s="404" t="n"/>
      <c r="G158" s="420" t="n"/>
      <c r="H158" s="406" t="n"/>
      <c r="I158" s="407" t="n"/>
      <c r="J158" s="408" t="n"/>
      <c r="K158" s="409" t="n"/>
      <c r="L158" s="391" t="n"/>
      <c r="M158" s="399" t="n"/>
      <c r="N158" s="410" t="n"/>
      <c r="O158" s="399" t="n"/>
      <c r="P158" s="411" t="n"/>
      <c r="Q158" s="399" t="n"/>
      <c r="R158" s="412" t="n"/>
      <c r="S158" s="399" t="n"/>
      <c r="T158" s="417" t="n"/>
      <c r="U158" s="391" t="n"/>
      <c r="V158" s="391" t="n"/>
      <c r="W158" s="399" t="n"/>
      <c r="X158" s="217" t="n"/>
      <c r="Y158" s="414">
        <f>G158-H158-I158</f>
        <v/>
      </c>
      <c r="Z158" s="414">
        <f>H158+I158</f>
        <v/>
      </c>
      <c r="AA158" s="414">
        <f>H158*N158</f>
        <v/>
      </c>
      <c r="AB158" s="123" t="n"/>
      <c r="AC158" s="123" t="n"/>
      <c r="AD158" s="123" t="n"/>
      <c r="AE158" s="123" t="n"/>
      <c r="AF158" s="123" t="n"/>
      <c r="AG158" s="123" t="n"/>
      <c r="AH158" s="123" t="n"/>
      <c r="AI158" s="123" t="n"/>
    </row>
    <row r="159" ht="27" customFormat="1" customHeight="1" s="3">
      <c r="A159" s="217" t="n"/>
      <c r="B159" s="418" t="n"/>
      <c r="C159" s="419" t="n"/>
      <c r="D159" s="113" t="n"/>
      <c r="E159" s="403" t="n"/>
      <c r="F159" s="404" t="n"/>
      <c r="G159" s="420" t="n"/>
      <c r="H159" s="406" t="n"/>
      <c r="I159" s="407" t="n"/>
      <c r="J159" s="408" t="n"/>
      <c r="K159" s="409" t="n"/>
      <c r="L159" s="391" t="n"/>
      <c r="M159" s="399" t="n"/>
      <c r="N159" s="410" t="n"/>
      <c r="O159" s="399" t="n"/>
      <c r="P159" s="411" t="n"/>
      <c r="Q159" s="399" t="n"/>
      <c r="R159" s="412" t="n"/>
      <c r="S159" s="399" t="n"/>
      <c r="T159" s="417" t="n"/>
      <c r="U159" s="391" t="n"/>
      <c r="V159" s="391" t="n"/>
      <c r="W159" s="399" t="n"/>
      <c r="X159" s="217" t="n"/>
      <c r="Y159" s="414">
        <f>G159-H159-I159</f>
        <v/>
      </c>
      <c r="Z159" s="414">
        <f>H159+I159</f>
        <v/>
      </c>
      <c r="AA159" s="414">
        <f>H159*N159</f>
        <v/>
      </c>
      <c r="AB159" s="123" t="n"/>
      <c r="AC159" s="123" t="n"/>
      <c r="AD159" s="123" t="n"/>
      <c r="AE159" s="123" t="n"/>
      <c r="AF159" s="123" t="n"/>
      <c r="AG159" s="123" t="n"/>
      <c r="AH159" s="123" t="n"/>
      <c r="AI159" s="123" t="n"/>
    </row>
    <row r="160" ht="27" customFormat="1" customHeight="1" s="3">
      <c r="A160" s="217" t="n"/>
      <c r="B160" s="418" t="n"/>
      <c r="C160" s="419" t="n"/>
      <c r="D160" s="113" t="n"/>
      <c r="E160" s="403" t="n"/>
      <c r="F160" s="404" t="n"/>
      <c r="G160" s="420" t="n"/>
      <c r="H160" s="406" t="n"/>
      <c r="I160" s="407" t="n"/>
      <c r="J160" s="408" t="n"/>
      <c r="K160" s="409" t="n"/>
      <c r="L160" s="391" t="n"/>
      <c r="M160" s="399" t="n"/>
      <c r="N160" s="410" t="n"/>
      <c r="O160" s="399" t="n"/>
      <c r="P160" s="411" t="n"/>
      <c r="Q160" s="399" t="n"/>
      <c r="R160" s="412" t="n"/>
      <c r="S160" s="399" t="n"/>
      <c r="T160" s="417" t="n"/>
      <c r="U160" s="391" t="n"/>
      <c r="V160" s="391" t="n"/>
      <c r="W160" s="399" t="n"/>
      <c r="X160" s="217" t="n"/>
      <c r="Y160" s="414">
        <f>G160-H160-I160</f>
        <v/>
      </c>
      <c r="Z160" s="414">
        <f>H160+I160</f>
        <v/>
      </c>
      <c r="AA160" s="414">
        <f>H160*N160</f>
        <v/>
      </c>
      <c r="AB160" s="123" t="n"/>
      <c r="AC160" s="123" t="n"/>
      <c r="AD160" s="123" t="n"/>
      <c r="AE160" s="123" t="n"/>
      <c r="AF160" s="123" t="n"/>
      <c r="AG160" s="123" t="n"/>
      <c r="AH160" s="123" t="n"/>
      <c r="AI160" s="123" t="n"/>
    </row>
    <row r="161" ht="27" customFormat="1" customHeight="1" s="3">
      <c r="A161" s="217" t="n"/>
      <c r="B161" s="418" t="n"/>
      <c r="C161" s="419" t="n"/>
      <c r="D161" s="113" t="n"/>
      <c r="E161" s="403" t="n"/>
      <c r="F161" s="404" t="n"/>
      <c r="G161" s="420" t="n"/>
      <c r="H161" s="406" t="n"/>
      <c r="I161" s="407" t="n"/>
      <c r="J161" s="408" t="n"/>
      <c r="K161" s="409" t="n"/>
      <c r="L161" s="391" t="n"/>
      <c r="M161" s="399" t="n"/>
      <c r="N161" s="410" t="n"/>
      <c r="O161" s="399" t="n"/>
      <c r="P161" s="411" t="n"/>
      <c r="Q161" s="399" t="n"/>
      <c r="R161" s="412" t="n"/>
      <c r="S161" s="399" t="n"/>
      <c r="T161" s="417" t="n"/>
      <c r="U161" s="391" t="n"/>
      <c r="V161" s="391" t="n"/>
      <c r="W161" s="399" t="n"/>
      <c r="X161" s="217" t="n"/>
      <c r="Y161" s="414">
        <f>G161-H161-I161</f>
        <v/>
      </c>
      <c r="Z161" s="414">
        <f>H161+I161</f>
        <v/>
      </c>
      <c r="AA161" s="414">
        <f>H161*N161</f>
        <v/>
      </c>
      <c r="AB161" s="123" t="n"/>
      <c r="AC161" s="123" t="n"/>
      <c r="AD161" s="123" t="n"/>
      <c r="AE161" s="123" t="n"/>
      <c r="AF161" s="123" t="n"/>
      <c r="AG161" s="123" t="n"/>
      <c r="AH161" s="123" t="n"/>
      <c r="AI161" s="123" t="n"/>
    </row>
    <row r="162" ht="27" customFormat="1" customHeight="1" s="3">
      <c r="A162" s="217" t="n"/>
      <c r="B162" s="418" t="n"/>
      <c r="C162" s="419" t="n"/>
      <c r="D162" s="113" t="n"/>
      <c r="E162" s="403" t="n"/>
      <c r="F162" s="404" t="n"/>
      <c r="G162" s="420" t="n"/>
      <c r="H162" s="406" t="n"/>
      <c r="I162" s="407" t="n"/>
      <c r="J162" s="408" t="n"/>
      <c r="K162" s="409" t="n"/>
      <c r="L162" s="391" t="n"/>
      <c r="M162" s="399" t="n"/>
      <c r="N162" s="410" t="n"/>
      <c r="O162" s="399" t="n"/>
      <c r="P162" s="411" t="n"/>
      <c r="Q162" s="399" t="n"/>
      <c r="R162" s="412" t="n"/>
      <c r="S162" s="399" t="n"/>
      <c r="T162" s="417" t="n"/>
      <c r="U162" s="391" t="n"/>
      <c r="V162" s="391" t="n"/>
      <c r="W162" s="399" t="n"/>
      <c r="X162" s="217" t="n"/>
      <c r="Y162" s="414">
        <f>G162-H162-I162</f>
        <v/>
      </c>
      <c r="Z162" s="414">
        <f>H162+I162</f>
        <v/>
      </c>
      <c r="AA162" s="414">
        <f>H162*N162</f>
        <v/>
      </c>
      <c r="AB162" s="123" t="n"/>
      <c r="AC162" s="123" t="n"/>
      <c r="AD162" s="123" t="n"/>
      <c r="AE162" s="123" t="n"/>
      <c r="AF162" s="123" t="n"/>
      <c r="AG162" s="123" t="n"/>
      <c r="AH162" s="123" t="n"/>
      <c r="AI162" s="123" t="n"/>
    </row>
    <row r="163" ht="27" customFormat="1" customHeight="1" s="3">
      <c r="A163" s="217" t="n"/>
      <c r="B163" s="418" t="n"/>
      <c r="C163" s="419" t="n"/>
      <c r="D163" s="113" t="n"/>
      <c r="E163" s="403" t="n"/>
      <c r="F163" s="404" t="n"/>
      <c r="G163" s="420" t="n"/>
      <c r="H163" s="406" t="n"/>
      <c r="I163" s="407" t="n"/>
      <c r="J163" s="408" t="n"/>
      <c r="K163" s="409" t="n"/>
      <c r="L163" s="391" t="n"/>
      <c r="M163" s="399" t="n"/>
      <c r="N163" s="410" t="n"/>
      <c r="O163" s="399" t="n"/>
      <c r="P163" s="411" t="n"/>
      <c r="Q163" s="399" t="n"/>
      <c r="R163" s="412" t="n"/>
      <c r="S163" s="399" t="n"/>
      <c r="T163" s="417" t="n"/>
      <c r="U163" s="391" t="n"/>
      <c r="V163" s="391" t="n"/>
      <c r="W163" s="399" t="n"/>
      <c r="X163" s="217" t="n"/>
      <c r="Y163" s="414">
        <f>G163-H163-I163</f>
        <v/>
      </c>
      <c r="Z163" s="414">
        <f>H163+I163</f>
        <v/>
      </c>
      <c r="AA163" s="414">
        <f>H163*N163</f>
        <v/>
      </c>
      <c r="AB163" s="123" t="n"/>
      <c r="AC163" s="123" t="n"/>
      <c r="AD163" s="123" t="n"/>
      <c r="AE163" s="123" t="n"/>
      <c r="AF163" s="123" t="n"/>
      <c r="AG163" s="123" t="n"/>
      <c r="AH163" s="123" t="n"/>
      <c r="AI163" s="123" t="n"/>
    </row>
    <row r="164" ht="27" customFormat="1" customHeight="1" s="3">
      <c r="A164" s="217" t="n"/>
      <c r="B164" s="418" t="n"/>
      <c r="C164" s="419" t="n"/>
      <c r="D164" s="113" t="n"/>
      <c r="E164" s="403" t="n"/>
      <c r="F164" s="404" t="n"/>
      <c r="G164" s="420" t="n"/>
      <c r="H164" s="406" t="n"/>
      <c r="I164" s="407" t="n"/>
      <c r="J164" s="408" t="n"/>
      <c r="K164" s="409" t="n"/>
      <c r="L164" s="391" t="n"/>
      <c r="M164" s="399" t="n"/>
      <c r="N164" s="410" t="n"/>
      <c r="O164" s="399" t="n"/>
      <c r="P164" s="411" t="n"/>
      <c r="Q164" s="399" t="n"/>
      <c r="R164" s="412" t="n"/>
      <c r="S164" s="399" t="n"/>
      <c r="T164" s="417" t="n"/>
      <c r="U164" s="391" t="n"/>
      <c r="V164" s="391" t="n"/>
      <c r="W164" s="399" t="n"/>
      <c r="X164" s="217" t="n"/>
      <c r="Y164" s="414">
        <f>G164-H164-I164</f>
        <v/>
      </c>
      <c r="Z164" s="414">
        <f>H164+I164</f>
        <v/>
      </c>
      <c r="AA164" s="414">
        <f>H164*N164</f>
        <v/>
      </c>
      <c r="AB164" s="123" t="n"/>
      <c r="AC164" s="123" t="n"/>
      <c r="AD164" s="123" t="n"/>
      <c r="AE164" s="123" t="n"/>
      <c r="AF164" s="123" t="n"/>
      <c r="AG164" s="123" t="n"/>
      <c r="AH164" s="123" t="n"/>
      <c r="AI164" s="123" t="n"/>
    </row>
    <row r="165" ht="27" customFormat="1" customHeight="1" s="3">
      <c r="A165" s="217" t="n"/>
      <c r="B165" s="418" t="n"/>
      <c r="C165" s="419" t="n"/>
      <c r="D165" s="113" t="n"/>
      <c r="E165" s="403" t="n"/>
      <c r="F165" s="404" t="n"/>
      <c r="G165" s="420" t="n"/>
      <c r="H165" s="406" t="n"/>
      <c r="I165" s="407" t="n"/>
      <c r="J165" s="408" t="n"/>
      <c r="K165" s="409" t="n"/>
      <c r="L165" s="391" t="n"/>
      <c r="M165" s="399" t="n"/>
      <c r="N165" s="410" t="n"/>
      <c r="O165" s="399" t="n"/>
      <c r="P165" s="411" t="n"/>
      <c r="Q165" s="399" t="n"/>
      <c r="R165" s="412" t="n"/>
      <c r="S165" s="399" t="n"/>
      <c r="T165" s="417" t="n"/>
      <c r="U165" s="391" t="n"/>
      <c r="V165" s="391" t="n"/>
      <c r="W165" s="399" t="n"/>
      <c r="X165" s="217" t="n"/>
      <c r="Y165" s="414">
        <f>G165-H165-I165</f>
        <v/>
      </c>
      <c r="Z165" s="414">
        <f>H165+I165</f>
        <v/>
      </c>
      <c r="AA165" s="414">
        <f>H165*N165</f>
        <v/>
      </c>
      <c r="AB165" s="123" t="n"/>
      <c r="AC165" s="123" t="n"/>
      <c r="AD165" s="123" t="n"/>
      <c r="AE165" s="123" t="n"/>
      <c r="AF165" s="123" t="n"/>
      <c r="AG165" s="123" t="n"/>
      <c r="AH165" s="123" t="n"/>
      <c r="AI165" s="123" t="n"/>
    </row>
    <row r="166" ht="27" customFormat="1" customHeight="1" s="3">
      <c r="A166" s="217" t="n"/>
      <c r="B166" s="418" t="n"/>
      <c r="C166" s="419" t="n"/>
      <c r="D166" s="113" t="n"/>
      <c r="E166" s="403" t="n"/>
      <c r="F166" s="404" t="n"/>
      <c r="G166" s="420" t="n"/>
      <c r="H166" s="406" t="n"/>
      <c r="I166" s="407" t="n"/>
      <c r="J166" s="408" t="n"/>
      <c r="K166" s="409" t="n"/>
      <c r="L166" s="391" t="n"/>
      <c r="M166" s="399" t="n"/>
      <c r="N166" s="410" t="n"/>
      <c r="O166" s="399" t="n"/>
      <c r="P166" s="411" t="n"/>
      <c r="Q166" s="399" t="n"/>
      <c r="R166" s="412" t="n"/>
      <c r="S166" s="399" t="n"/>
      <c r="T166" s="417" t="n"/>
      <c r="U166" s="391" t="n"/>
      <c r="V166" s="391" t="n"/>
      <c r="W166" s="399" t="n"/>
      <c r="X166" s="217" t="n"/>
      <c r="Y166" s="414">
        <f>G166-H166-I166</f>
        <v/>
      </c>
      <c r="Z166" s="414">
        <f>H166+I166</f>
        <v/>
      </c>
      <c r="AA166" s="414">
        <f>H166*N166</f>
        <v/>
      </c>
      <c r="AB166" s="123" t="n"/>
      <c r="AC166" s="123" t="n"/>
      <c r="AD166" s="123" t="n"/>
      <c r="AE166" s="123" t="n"/>
      <c r="AF166" s="123" t="n"/>
      <c r="AG166" s="123" t="n"/>
      <c r="AH166" s="123" t="n"/>
      <c r="AI166" s="123" t="n"/>
    </row>
    <row r="167" ht="27" customFormat="1" customHeight="1" s="3">
      <c r="A167" s="217" t="n"/>
      <c r="B167" s="418" t="n"/>
      <c r="C167" s="419" t="n"/>
      <c r="D167" s="113" t="n"/>
      <c r="E167" s="403" t="n"/>
      <c r="F167" s="404" t="n"/>
      <c r="G167" s="420" t="n"/>
      <c r="H167" s="406" t="n"/>
      <c r="I167" s="407" t="n"/>
      <c r="J167" s="408" t="n"/>
      <c r="K167" s="409" t="n"/>
      <c r="L167" s="391" t="n"/>
      <c r="M167" s="399" t="n"/>
      <c r="N167" s="410" t="n"/>
      <c r="O167" s="399" t="n"/>
      <c r="P167" s="411" t="n"/>
      <c r="Q167" s="399" t="n"/>
      <c r="R167" s="412" t="n"/>
      <c r="S167" s="399" t="n"/>
      <c r="T167" s="417" t="n"/>
      <c r="U167" s="391" t="n"/>
      <c r="V167" s="391" t="n"/>
      <c r="W167" s="399" t="n"/>
      <c r="X167" s="217" t="n"/>
      <c r="Y167" s="414">
        <f>G167-H167-I167</f>
        <v/>
      </c>
      <c r="Z167" s="414">
        <f>H167+I167</f>
        <v/>
      </c>
      <c r="AA167" s="414">
        <f>H167*N167</f>
        <v/>
      </c>
      <c r="AB167" s="123" t="n"/>
      <c r="AC167" s="123" t="n"/>
      <c r="AD167" s="123" t="n"/>
      <c r="AE167" s="123" t="n"/>
      <c r="AF167" s="123" t="n"/>
      <c r="AG167" s="123" t="n"/>
      <c r="AH167" s="123" t="n"/>
      <c r="AI167" s="123" t="n"/>
    </row>
    <row r="168" ht="27" customFormat="1" customHeight="1" s="3">
      <c r="A168" s="217" t="n"/>
      <c r="B168" s="418" t="n"/>
      <c r="C168" s="419" t="n"/>
      <c r="D168" s="113" t="n"/>
      <c r="E168" s="403" t="n"/>
      <c r="F168" s="404" t="n"/>
      <c r="G168" s="420" t="n"/>
      <c r="H168" s="406" t="n"/>
      <c r="I168" s="407" t="n"/>
      <c r="J168" s="408" t="n"/>
      <c r="K168" s="409" t="n"/>
      <c r="L168" s="391" t="n"/>
      <c r="M168" s="399" t="n"/>
      <c r="N168" s="410" t="n"/>
      <c r="O168" s="399" t="n"/>
      <c r="P168" s="411" t="n"/>
      <c r="Q168" s="399" t="n"/>
      <c r="R168" s="412" t="n"/>
      <c r="S168" s="399" t="n"/>
      <c r="T168" s="417" t="n"/>
      <c r="U168" s="391" t="n"/>
      <c r="V168" s="391" t="n"/>
      <c r="W168" s="399" t="n"/>
      <c r="X168" s="217" t="n"/>
      <c r="Y168" s="414">
        <f>G168-H168-I168</f>
        <v/>
      </c>
      <c r="Z168" s="414">
        <f>H168+I168</f>
        <v/>
      </c>
      <c r="AA168" s="414">
        <f>H168*N168</f>
        <v/>
      </c>
      <c r="AB168" s="123" t="n"/>
      <c r="AC168" s="123" t="n"/>
      <c r="AD168" s="123" t="n"/>
      <c r="AE168" s="123" t="n"/>
      <c r="AF168" s="123" t="n"/>
      <c r="AG168" s="123" t="n"/>
      <c r="AH168" s="123" t="n"/>
      <c r="AI168" s="123" t="n"/>
    </row>
    <row r="169" ht="27" customFormat="1" customHeight="1" s="3">
      <c r="A169" s="217" t="n"/>
      <c r="B169" s="418" t="n"/>
      <c r="C169" s="419" t="n"/>
      <c r="D169" s="113" t="n"/>
      <c r="E169" s="403" t="n"/>
      <c r="F169" s="404" t="n"/>
      <c r="G169" s="420" t="n"/>
      <c r="H169" s="406" t="n"/>
      <c r="I169" s="407" t="n"/>
      <c r="J169" s="408" t="n"/>
      <c r="K169" s="409" t="n"/>
      <c r="L169" s="391" t="n"/>
      <c r="M169" s="399" t="n"/>
      <c r="N169" s="410" t="n"/>
      <c r="O169" s="399" t="n"/>
      <c r="P169" s="421" t="n"/>
      <c r="Q169" s="388" t="n"/>
      <c r="R169" s="412" t="n"/>
      <c r="S169" s="399" t="n"/>
      <c r="T169" s="417" t="n"/>
      <c r="U169" s="391" t="n"/>
      <c r="V169" s="391" t="n"/>
      <c r="W169" s="399" t="n"/>
      <c r="X169" s="217" t="n"/>
      <c r="Y169" s="414">
        <f>G169-H169-I169</f>
        <v/>
      </c>
      <c r="Z169" s="414">
        <f>H169+I169</f>
        <v/>
      </c>
      <c r="AA169" s="414">
        <f>H169*N169</f>
        <v/>
      </c>
      <c r="AB169" s="123" t="n"/>
      <c r="AC169" s="123" t="n"/>
      <c r="AD169" s="123" t="n"/>
      <c r="AE169" s="123" t="n"/>
      <c r="AF169" s="123" t="n"/>
      <c r="AG169" s="123" t="n"/>
      <c r="AH169" s="123" t="n"/>
      <c r="AI169" s="123" t="n"/>
    </row>
    <row r="170" ht="27" customFormat="1" customHeight="1" s="3">
      <c r="A170" s="217" t="n"/>
      <c r="B170" s="418" t="n"/>
      <c r="C170" s="419" t="n"/>
      <c r="D170" s="113" t="n"/>
      <c r="E170" s="403" t="n"/>
      <c r="F170" s="404" t="n"/>
      <c r="G170" s="420" t="n"/>
      <c r="H170" s="406" t="n"/>
      <c r="I170" s="407" t="n"/>
      <c r="J170" s="408" t="n"/>
      <c r="K170" s="409" t="n"/>
      <c r="L170" s="391" t="n"/>
      <c r="M170" s="399" t="n"/>
      <c r="N170" s="410" t="n"/>
      <c r="O170" s="399" t="n"/>
      <c r="P170" s="421" t="n"/>
      <c r="Q170" s="388" t="n"/>
      <c r="R170" s="412" t="n"/>
      <c r="S170" s="399" t="n"/>
      <c r="T170" s="417" t="n"/>
      <c r="U170" s="391" t="n"/>
      <c r="V170" s="391" t="n"/>
      <c r="W170" s="399" t="n"/>
      <c r="X170" s="217" t="n"/>
      <c r="Y170" s="414">
        <f>G170-H170-I170</f>
        <v/>
      </c>
      <c r="Z170" s="414">
        <f>H170+I170</f>
        <v/>
      </c>
      <c r="AA170" s="414">
        <f>H170*N170</f>
        <v/>
      </c>
      <c r="AB170" s="123" t="n"/>
      <c r="AC170" s="123" t="n"/>
      <c r="AD170" s="123" t="n"/>
      <c r="AE170" s="123" t="n"/>
      <c r="AF170" s="123" t="n"/>
      <c r="AG170" s="123" t="n"/>
      <c r="AH170" s="123" t="n"/>
      <c r="AI170" s="123" t="n"/>
    </row>
    <row r="171" ht="27" customFormat="1" customHeight="1" s="3">
      <c r="A171" s="217" t="n"/>
      <c r="B171" s="418" t="n"/>
      <c r="C171" s="419" t="n"/>
      <c r="D171" s="113" t="n"/>
      <c r="E171" s="403" t="n"/>
      <c r="F171" s="404" t="n"/>
      <c r="G171" s="420" t="n"/>
      <c r="H171" s="406" t="n"/>
      <c r="I171" s="407" t="n"/>
      <c r="J171" s="408" t="n"/>
      <c r="K171" s="409" t="n"/>
      <c r="L171" s="391" t="n"/>
      <c r="M171" s="399" t="n"/>
      <c r="N171" s="410" t="n"/>
      <c r="O171" s="399" t="n"/>
      <c r="P171" s="421" t="n"/>
      <c r="Q171" s="388" t="n"/>
      <c r="R171" s="412" t="n"/>
      <c r="S171" s="399" t="n"/>
      <c r="T171" s="417" t="n"/>
      <c r="U171" s="391" t="n"/>
      <c r="V171" s="391" t="n"/>
      <c r="W171" s="399" t="n"/>
      <c r="X171" s="217" t="n"/>
      <c r="Y171" s="414">
        <f>G171-H171-I171</f>
        <v/>
      </c>
      <c r="Z171" s="414">
        <f>H171+I171</f>
        <v/>
      </c>
      <c r="AA171" s="414">
        <f>H171*N171</f>
        <v/>
      </c>
      <c r="AB171" s="123" t="n"/>
      <c r="AC171" s="123" t="n"/>
      <c r="AD171" s="123" t="n"/>
      <c r="AE171" s="123" t="n"/>
      <c r="AF171" s="123" t="n"/>
      <c r="AG171" s="123" t="n"/>
      <c r="AH171" s="123" t="n"/>
      <c r="AI171" s="123" t="n"/>
    </row>
    <row r="172" ht="27" customFormat="1" customHeight="1" s="3">
      <c r="A172" s="217" t="n"/>
      <c r="B172" s="418" t="n"/>
      <c r="C172" s="419" t="n"/>
      <c r="D172" s="113" t="n"/>
      <c r="E172" s="403" t="n"/>
      <c r="F172" s="404" t="n"/>
      <c r="G172" s="420" t="n"/>
      <c r="H172" s="406" t="n"/>
      <c r="I172" s="407" t="n"/>
      <c r="J172" s="408" t="n"/>
      <c r="K172" s="409" t="n"/>
      <c r="L172" s="391" t="n"/>
      <c r="M172" s="399" t="n"/>
      <c r="N172" s="410" t="n"/>
      <c r="O172" s="399" t="n"/>
      <c r="P172" s="421" t="n"/>
      <c r="Q172" s="388" t="n"/>
      <c r="R172" s="412" t="n"/>
      <c r="S172" s="399" t="n"/>
      <c r="T172" s="417" t="n"/>
      <c r="U172" s="391" t="n"/>
      <c r="V172" s="391" t="n"/>
      <c r="W172" s="399" t="n"/>
      <c r="X172" s="217" t="n"/>
      <c r="Y172" s="414">
        <f>G172-H172-I172</f>
        <v/>
      </c>
      <c r="Z172" s="414">
        <f>H172+I172</f>
        <v/>
      </c>
      <c r="AA172" s="414">
        <f>H172*N172</f>
        <v/>
      </c>
      <c r="AB172" s="123" t="n"/>
      <c r="AC172" s="123" t="n"/>
      <c r="AD172" s="123" t="n"/>
      <c r="AE172" s="123" t="n"/>
      <c r="AF172" s="123" t="n"/>
      <c r="AG172" s="123" t="n"/>
      <c r="AH172" s="123" t="n"/>
      <c r="AI172" s="123" t="n"/>
    </row>
    <row r="173" ht="27" customFormat="1" customHeight="1" s="3">
      <c r="A173" s="217" t="n"/>
      <c r="B173" s="418" t="n"/>
      <c r="C173" s="419" t="n"/>
      <c r="D173" s="113" t="n"/>
      <c r="E173" s="403" t="n"/>
      <c r="F173" s="404" t="n"/>
      <c r="G173" s="420" t="n"/>
      <c r="H173" s="406" t="n"/>
      <c r="I173" s="407" t="n"/>
      <c r="J173" s="408" t="n"/>
      <c r="K173" s="409" t="n"/>
      <c r="L173" s="391" t="n"/>
      <c r="M173" s="399" t="n"/>
      <c r="N173" s="410" t="n"/>
      <c r="O173" s="399" t="n"/>
      <c r="P173" s="421" t="n"/>
      <c r="Q173" s="388" t="n"/>
      <c r="R173" s="412" t="n"/>
      <c r="S173" s="399" t="n"/>
      <c r="T173" s="417" t="n"/>
      <c r="U173" s="391" t="n"/>
      <c r="V173" s="391" t="n"/>
      <c r="W173" s="399" t="n"/>
      <c r="X173" s="217" t="n"/>
      <c r="Y173" s="414">
        <f>G173-H173-I173</f>
        <v/>
      </c>
      <c r="Z173" s="414">
        <f>H173+I173</f>
        <v/>
      </c>
      <c r="AA173" s="414">
        <f>H173*N173</f>
        <v/>
      </c>
      <c r="AB173" s="123" t="n"/>
      <c r="AC173" s="123" t="n"/>
      <c r="AD173" s="123" t="n"/>
      <c r="AE173" s="123" t="n"/>
      <c r="AF173" s="123" t="n"/>
      <c r="AG173" s="123" t="n"/>
      <c r="AH173" s="123" t="n"/>
      <c r="AI173" s="123" t="n"/>
    </row>
    <row r="174" ht="27" customFormat="1" customHeight="1" s="3">
      <c r="A174" s="217" t="n"/>
      <c r="B174" s="418" t="n"/>
      <c r="C174" s="419" t="n"/>
      <c r="D174" s="113" t="n"/>
      <c r="E174" s="403" t="n"/>
      <c r="F174" s="404" t="n"/>
      <c r="G174" s="420" t="n"/>
      <c r="H174" s="406" t="n"/>
      <c r="I174" s="407" t="n"/>
      <c r="J174" s="408" t="n"/>
      <c r="K174" s="409" t="n"/>
      <c r="L174" s="391" t="n"/>
      <c r="M174" s="399" t="n"/>
      <c r="N174" s="410" t="n"/>
      <c r="O174" s="399" t="n"/>
      <c r="P174" s="421" t="n"/>
      <c r="Q174" s="388" t="n"/>
      <c r="R174" s="412" t="n"/>
      <c r="S174" s="399" t="n"/>
      <c r="T174" s="417" t="n"/>
      <c r="U174" s="391" t="n"/>
      <c r="V174" s="391" t="n"/>
      <c r="W174" s="399" t="n"/>
      <c r="X174" s="217" t="n"/>
      <c r="Y174" s="414">
        <f>G174-H174-I174</f>
        <v/>
      </c>
      <c r="Z174" s="414">
        <f>H174+I174</f>
        <v/>
      </c>
      <c r="AA174" s="414">
        <f>H174*N174</f>
        <v/>
      </c>
      <c r="AB174" s="123" t="n"/>
      <c r="AC174" s="123" t="n"/>
      <c r="AD174" s="123" t="n"/>
      <c r="AE174" s="123" t="n"/>
      <c r="AF174" s="123" t="n"/>
      <c r="AG174" s="123" t="n"/>
      <c r="AH174" s="123" t="n"/>
      <c r="AI174" s="123" t="n"/>
    </row>
    <row r="175" ht="27" customFormat="1" customHeight="1" s="3">
      <c r="A175" s="217" t="n"/>
      <c r="B175" s="418" t="n"/>
      <c r="C175" s="419" t="n"/>
      <c r="D175" s="113" t="n"/>
      <c r="E175" s="403" t="n"/>
      <c r="F175" s="404" t="n"/>
      <c r="G175" s="420" t="n"/>
      <c r="H175" s="406" t="n"/>
      <c r="I175" s="407" t="n"/>
      <c r="J175" s="408" t="n"/>
      <c r="K175" s="409" t="n"/>
      <c r="L175" s="391" t="n"/>
      <c r="M175" s="399" t="n"/>
      <c r="N175" s="410" t="n"/>
      <c r="O175" s="399" t="n"/>
      <c r="P175" s="421" t="n"/>
      <c r="Q175" s="388" t="n"/>
      <c r="R175" s="412" t="n"/>
      <c r="S175" s="399" t="n"/>
      <c r="T175" s="417" t="n"/>
      <c r="U175" s="391" t="n"/>
      <c r="V175" s="391" t="n"/>
      <c r="W175" s="399" t="n"/>
      <c r="X175" s="217" t="n"/>
      <c r="Y175" s="414">
        <f>G175-H175-I175</f>
        <v/>
      </c>
      <c r="Z175" s="414">
        <f>H175+I175</f>
        <v/>
      </c>
      <c r="AA175" s="414">
        <f>H175*N175</f>
        <v/>
      </c>
      <c r="AB175" s="123" t="n"/>
      <c r="AC175" s="123" t="n"/>
      <c r="AD175" s="123" t="n"/>
      <c r="AE175" s="123" t="n"/>
      <c r="AF175" s="123" t="n"/>
      <c r="AG175" s="123" t="n"/>
      <c r="AH175" s="123" t="n"/>
      <c r="AI175" s="123" t="n"/>
    </row>
    <row r="176" ht="27" customFormat="1" customHeight="1" s="3">
      <c r="A176" s="217" t="n"/>
      <c r="B176" s="418" t="n"/>
      <c r="C176" s="419" t="n"/>
      <c r="D176" s="113" t="n"/>
      <c r="E176" s="403" t="n"/>
      <c r="F176" s="404" t="n"/>
      <c r="G176" s="420" t="n"/>
      <c r="H176" s="406" t="n"/>
      <c r="I176" s="407" t="n"/>
      <c r="J176" s="408" t="n"/>
      <c r="K176" s="409" t="n"/>
      <c r="L176" s="391" t="n"/>
      <c r="M176" s="399" t="n"/>
      <c r="N176" s="410" t="n"/>
      <c r="O176" s="399" t="n"/>
      <c r="P176" s="421" t="n"/>
      <c r="Q176" s="388" t="n"/>
      <c r="R176" s="412" t="n"/>
      <c r="S176" s="399" t="n"/>
      <c r="T176" s="417" t="n"/>
      <c r="U176" s="391" t="n"/>
      <c r="V176" s="391" t="n"/>
      <c r="W176" s="399" t="n"/>
      <c r="X176" s="217" t="n"/>
      <c r="Y176" s="414">
        <f>G176-H176-I176</f>
        <v/>
      </c>
      <c r="Z176" s="414">
        <f>H176+I176</f>
        <v/>
      </c>
      <c r="AA176" s="414">
        <f>H176*N176</f>
        <v/>
      </c>
      <c r="AB176" s="123" t="n"/>
      <c r="AC176" s="123" t="n"/>
      <c r="AD176" s="123" t="n"/>
      <c r="AE176" s="123" t="n"/>
      <c r="AF176" s="123" t="n"/>
      <c r="AG176" s="123" t="n"/>
      <c r="AH176" s="123" t="n"/>
      <c r="AI176" s="123" t="n"/>
    </row>
    <row r="177" ht="27" customFormat="1" customHeight="1" s="3">
      <c r="A177" s="217" t="n"/>
      <c r="B177" s="418" t="n"/>
      <c r="C177" s="419" t="n"/>
      <c r="D177" s="113" t="n"/>
      <c r="E177" s="403" t="n"/>
      <c r="F177" s="404" t="n"/>
      <c r="G177" s="420" t="n"/>
      <c r="H177" s="406" t="n"/>
      <c r="I177" s="407" t="n"/>
      <c r="J177" s="408" t="n"/>
      <c r="K177" s="409" t="n"/>
      <c r="L177" s="391" t="n"/>
      <c r="M177" s="399" t="n"/>
      <c r="N177" s="410" t="n"/>
      <c r="O177" s="399" t="n"/>
      <c r="P177" s="421" t="n"/>
      <c r="Q177" s="388" t="n"/>
      <c r="R177" s="412" t="n"/>
      <c r="S177" s="399" t="n"/>
      <c r="T177" s="417" t="n"/>
      <c r="U177" s="391" t="n"/>
      <c r="V177" s="391" t="n"/>
      <c r="W177" s="399" t="n"/>
      <c r="X177" s="217" t="n"/>
      <c r="Y177" s="414">
        <f>G177-H177-I177</f>
        <v/>
      </c>
      <c r="Z177" s="414">
        <f>H177+I177</f>
        <v/>
      </c>
      <c r="AA177" s="414">
        <f>H177*N177</f>
        <v/>
      </c>
      <c r="AB177" s="123" t="n"/>
      <c r="AC177" s="123" t="n"/>
      <c r="AD177" s="123" t="n"/>
      <c r="AE177" s="123" t="n"/>
      <c r="AF177" s="123" t="n"/>
      <c r="AG177" s="123" t="n"/>
      <c r="AH177" s="123" t="n"/>
      <c r="AI177" s="123" t="n"/>
    </row>
    <row r="178" ht="27" customFormat="1" customHeight="1" s="3">
      <c r="A178" s="217" t="n"/>
      <c r="B178" s="418" t="n"/>
      <c r="C178" s="419" t="n"/>
      <c r="D178" s="113" t="n"/>
      <c r="E178" s="403" t="n"/>
      <c r="F178" s="404" t="n"/>
      <c r="G178" s="420" t="n"/>
      <c r="H178" s="406" t="n"/>
      <c r="I178" s="407" t="n"/>
      <c r="J178" s="408" t="n"/>
      <c r="K178" s="409" t="n"/>
      <c r="L178" s="391" t="n"/>
      <c r="M178" s="399" t="n"/>
      <c r="N178" s="410" t="n"/>
      <c r="O178" s="399" t="n"/>
      <c r="P178" s="411" t="n"/>
      <c r="Q178" s="399" t="n"/>
      <c r="R178" s="412" t="n"/>
      <c r="S178" s="399" t="n"/>
      <c r="T178" s="417" t="n"/>
      <c r="U178" s="391" t="n"/>
      <c r="V178" s="391" t="n"/>
      <c r="W178" s="399" t="n"/>
      <c r="X178" s="217" t="n"/>
      <c r="Y178" s="414">
        <f>G178-H178-I178</f>
        <v/>
      </c>
      <c r="Z178" s="414">
        <f>H178+I178</f>
        <v/>
      </c>
      <c r="AA178" s="414">
        <f>H178*N178</f>
        <v/>
      </c>
      <c r="AB178" s="123" t="n"/>
      <c r="AC178" s="123" t="n"/>
      <c r="AD178" s="123" t="n"/>
      <c r="AE178" s="123" t="n"/>
      <c r="AF178" s="123" t="n"/>
      <c r="AG178" s="123" t="n"/>
      <c r="AH178" s="123" t="n"/>
      <c r="AI178" s="123" t="n"/>
    </row>
    <row r="179" ht="27" customFormat="1" customHeight="1" s="3">
      <c r="A179" s="217" t="n"/>
      <c r="B179" s="418" t="n"/>
      <c r="C179" s="419" t="n"/>
      <c r="D179" s="113" t="n"/>
      <c r="E179" s="403" t="n"/>
      <c r="F179" s="404" t="n"/>
      <c r="G179" s="420" t="n"/>
      <c r="H179" s="406" t="n"/>
      <c r="I179" s="407" t="n"/>
      <c r="J179" s="408" t="n"/>
      <c r="K179" s="409" t="n"/>
      <c r="L179" s="391" t="n"/>
      <c r="M179" s="399" t="n"/>
      <c r="N179" s="410" t="n"/>
      <c r="O179" s="399" t="n"/>
      <c r="P179" s="411" t="n"/>
      <c r="Q179" s="399" t="n"/>
      <c r="R179" s="412" t="n"/>
      <c r="S179" s="399" t="n"/>
      <c r="T179" s="417" t="n"/>
      <c r="U179" s="391" t="n"/>
      <c r="V179" s="391" t="n"/>
      <c r="W179" s="399" t="n"/>
      <c r="X179" s="217" t="n"/>
      <c r="Y179" s="414">
        <f>G179-H179-I179</f>
        <v/>
      </c>
      <c r="Z179" s="414">
        <f>H179+I179</f>
        <v/>
      </c>
      <c r="AA179" s="414">
        <f>H179*N179</f>
        <v/>
      </c>
      <c r="AB179" s="123" t="n"/>
      <c r="AC179" s="123" t="n"/>
      <c r="AD179" s="123" t="n"/>
      <c r="AE179" s="123" t="n"/>
      <c r="AF179" s="123" t="n"/>
      <c r="AG179" s="123" t="n"/>
      <c r="AH179" s="123" t="n"/>
      <c r="AI179" s="123" t="n"/>
    </row>
    <row r="180" ht="27" customFormat="1" customHeight="1" s="3">
      <c r="A180" s="217" t="n"/>
      <c r="B180" s="418" t="n"/>
      <c r="C180" s="419" t="n"/>
      <c r="D180" s="113" t="n"/>
      <c r="E180" s="403" t="n"/>
      <c r="F180" s="404" t="n"/>
      <c r="G180" s="420" t="n"/>
      <c r="H180" s="406" t="n"/>
      <c r="I180" s="407" t="n"/>
      <c r="J180" s="408" t="n"/>
      <c r="K180" s="409" t="n"/>
      <c r="L180" s="391" t="n"/>
      <c r="M180" s="399" t="n"/>
      <c r="N180" s="410" t="n"/>
      <c r="O180" s="399" t="n"/>
      <c r="P180" s="411" t="n"/>
      <c r="Q180" s="399" t="n"/>
      <c r="R180" s="412" t="n"/>
      <c r="S180" s="399" t="n"/>
      <c r="T180" s="417" t="n"/>
      <c r="U180" s="391" t="n"/>
      <c r="V180" s="391" t="n"/>
      <c r="W180" s="399" t="n"/>
      <c r="X180" s="217" t="n"/>
      <c r="Y180" s="414">
        <f>G180-H180-I180</f>
        <v/>
      </c>
      <c r="Z180" s="414">
        <f>H180+I180</f>
        <v/>
      </c>
      <c r="AA180" s="414">
        <f>H180*N180</f>
        <v/>
      </c>
      <c r="AB180" s="123" t="n"/>
      <c r="AC180" s="123" t="n"/>
      <c r="AD180" s="123" t="n"/>
      <c r="AE180" s="123" t="n"/>
      <c r="AF180" s="123" t="n"/>
      <c r="AG180" s="123" t="n"/>
      <c r="AH180" s="123" t="n"/>
      <c r="AI180" s="123" t="n"/>
    </row>
    <row r="181" ht="27" customFormat="1" customHeight="1" s="3">
      <c r="A181" s="217" t="n"/>
      <c r="B181" s="418" t="n"/>
      <c r="C181" s="419" t="n"/>
      <c r="D181" s="113" t="n"/>
      <c r="E181" s="403" t="n"/>
      <c r="F181" s="404" t="n"/>
      <c r="G181" s="420" t="n"/>
      <c r="H181" s="406" t="n"/>
      <c r="I181" s="407" t="n"/>
      <c r="J181" s="408" t="n"/>
      <c r="K181" s="409" t="n"/>
      <c r="L181" s="391" t="n"/>
      <c r="M181" s="399" t="n"/>
      <c r="N181" s="410" t="n"/>
      <c r="O181" s="399" t="n"/>
      <c r="P181" s="411" t="n"/>
      <c r="Q181" s="399" t="n"/>
      <c r="R181" s="412" t="n"/>
      <c r="S181" s="399" t="n"/>
      <c r="T181" s="417" t="n"/>
      <c r="U181" s="391" t="n"/>
      <c r="V181" s="391" t="n"/>
      <c r="W181" s="399" t="n"/>
      <c r="X181" s="217" t="n"/>
      <c r="Y181" s="414">
        <f>G181-H181-I181</f>
        <v/>
      </c>
      <c r="Z181" s="414">
        <f>H181+I181</f>
        <v/>
      </c>
      <c r="AA181" s="414">
        <f>H181*N181</f>
        <v/>
      </c>
      <c r="AB181" s="123" t="n"/>
      <c r="AC181" s="123" t="n"/>
      <c r="AD181" s="123" t="n"/>
      <c r="AE181" s="123" t="n"/>
      <c r="AF181" s="123" t="n"/>
      <c r="AG181" s="123" t="n"/>
      <c r="AH181" s="123" t="n"/>
      <c r="AI181" s="123" t="n"/>
    </row>
    <row r="182" ht="27" customFormat="1" customHeight="1" s="3">
      <c r="A182" s="217" t="n"/>
      <c r="B182" s="418" t="n"/>
      <c r="C182" s="419" t="n"/>
      <c r="D182" s="113" t="n"/>
      <c r="E182" s="403" t="n"/>
      <c r="F182" s="404" t="n"/>
      <c r="G182" s="420" t="n"/>
      <c r="H182" s="406" t="n"/>
      <c r="I182" s="407" t="n"/>
      <c r="J182" s="408" t="n"/>
      <c r="K182" s="409" t="n"/>
      <c r="L182" s="391" t="n"/>
      <c r="M182" s="399" t="n"/>
      <c r="N182" s="410" t="n"/>
      <c r="O182" s="399" t="n"/>
      <c r="P182" s="411" t="n"/>
      <c r="Q182" s="399" t="n"/>
      <c r="R182" s="412" t="n"/>
      <c r="S182" s="399" t="n"/>
      <c r="T182" s="417" t="n"/>
      <c r="U182" s="391" t="n"/>
      <c r="V182" s="391" t="n"/>
      <c r="W182" s="399" t="n"/>
      <c r="X182" s="217" t="n"/>
      <c r="Y182" s="414">
        <f>G182-H182-I182</f>
        <v/>
      </c>
      <c r="Z182" s="414">
        <f>H182+I182</f>
        <v/>
      </c>
      <c r="AA182" s="414">
        <f>H182*N182</f>
        <v/>
      </c>
      <c r="AB182" s="123" t="n"/>
      <c r="AC182" s="123" t="n"/>
      <c r="AD182" s="123" t="n"/>
      <c r="AE182" s="123" t="n"/>
      <c r="AF182" s="123" t="n"/>
      <c r="AG182" s="123" t="n"/>
      <c r="AH182" s="123" t="n"/>
      <c r="AI182" s="123" t="n"/>
    </row>
    <row r="183" ht="27" customFormat="1" customHeight="1" s="3">
      <c r="A183" s="217" t="n"/>
      <c r="B183" s="418" t="n"/>
      <c r="C183" s="419" t="n"/>
      <c r="D183" s="113" t="n"/>
      <c r="E183" s="403" t="n"/>
      <c r="F183" s="404" t="n"/>
      <c r="G183" s="420" t="n"/>
      <c r="H183" s="406" t="n"/>
      <c r="I183" s="407" t="n"/>
      <c r="J183" s="408" t="n"/>
      <c r="K183" s="409" t="n"/>
      <c r="L183" s="391" t="n"/>
      <c r="M183" s="399" t="n"/>
      <c r="N183" s="410" t="n"/>
      <c r="O183" s="399" t="n"/>
      <c r="P183" s="411" t="n"/>
      <c r="Q183" s="399" t="n"/>
      <c r="R183" s="412" t="n"/>
      <c r="S183" s="399" t="n"/>
      <c r="T183" s="417" t="n"/>
      <c r="U183" s="391" t="n"/>
      <c r="V183" s="391" t="n"/>
      <c r="W183" s="399" t="n"/>
      <c r="X183" s="217" t="n"/>
      <c r="Y183" s="414">
        <f>G183-H183-I183</f>
        <v/>
      </c>
      <c r="Z183" s="414">
        <f>H183+I183</f>
        <v/>
      </c>
      <c r="AA183" s="414">
        <f>H183*N183</f>
        <v/>
      </c>
      <c r="AB183" s="123" t="n"/>
      <c r="AC183" s="123" t="n"/>
      <c r="AD183" s="123" t="n"/>
      <c r="AE183" s="123" t="n"/>
      <c r="AF183" s="123" t="n"/>
      <c r="AG183" s="123" t="n"/>
      <c r="AH183" s="123" t="n"/>
      <c r="AI183" s="123" t="n"/>
    </row>
    <row r="184" ht="27" customFormat="1" customHeight="1" s="3">
      <c r="A184" s="217" t="n"/>
      <c r="B184" s="418" t="n"/>
      <c r="C184" s="419" t="n"/>
      <c r="D184" s="113" t="n"/>
      <c r="E184" s="403" t="n"/>
      <c r="F184" s="404" t="n"/>
      <c r="G184" s="420" t="n"/>
      <c r="H184" s="406" t="n"/>
      <c r="I184" s="407" t="n"/>
      <c r="J184" s="408" t="n"/>
      <c r="K184" s="409" t="n"/>
      <c r="L184" s="391" t="n"/>
      <c r="M184" s="399" t="n"/>
      <c r="N184" s="410" t="n"/>
      <c r="O184" s="399" t="n"/>
      <c r="P184" s="411" t="n"/>
      <c r="Q184" s="399" t="n"/>
      <c r="R184" s="412" t="n"/>
      <c r="S184" s="399" t="n"/>
      <c r="T184" s="417" t="n"/>
      <c r="U184" s="391" t="n"/>
      <c r="V184" s="391" t="n"/>
      <c r="W184" s="399" t="n"/>
      <c r="X184" s="217" t="n"/>
      <c r="Y184" s="414">
        <f>G184-H184-I184</f>
        <v/>
      </c>
      <c r="Z184" s="414">
        <f>H184+I184</f>
        <v/>
      </c>
      <c r="AA184" s="414">
        <f>H184*N184</f>
        <v/>
      </c>
      <c r="AB184" s="123" t="n"/>
      <c r="AC184" s="123" t="n"/>
      <c r="AD184" s="123" t="n"/>
      <c r="AE184" s="123" t="n"/>
      <c r="AF184" s="123" t="n"/>
      <c r="AG184" s="123" t="n"/>
      <c r="AH184" s="123" t="n"/>
      <c r="AI184" s="123" t="n"/>
    </row>
    <row r="185" ht="27" customFormat="1" customHeight="1" s="3">
      <c r="A185" s="217" t="n"/>
      <c r="B185" s="418" t="n"/>
      <c r="C185" s="419" t="n"/>
      <c r="D185" s="113" t="n"/>
      <c r="E185" s="403" t="n"/>
      <c r="F185" s="404" t="n"/>
      <c r="G185" s="420" t="n"/>
      <c r="H185" s="406" t="n"/>
      <c r="I185" s="407" t="n"/>
      <c r="J185" s="408" t="n"/>
      <c r="K185" s="409" t="n"/>
      <c r="L185" s="391" t="n"/>
      <c r="M185" s="399" t="n"/>
      <c r="N185" s="410" t="n"/>
      <c r="O185" s="399" t="n"/>
      <c r="P185" s="411" t="n"/>
      <c r="Q185" s="399" t="n"/>
      <c r="R185" s="412" t="n"/>
      <c r="S185" s="399" t="n"/>
      <c r="T185" s="417" t="n"/>
      <c r="U185" s="391" t="n"/>
      <c r="V185" s="391" t="n"/>
      <c r="W185" s="399" t="n"/>
      <c r="X185" s="217" t="n"/>
      <c r="Y185" s="414">
        <f>G185-H185-I185</f>
        <v/>
      </c>
      <c r="Z185" s="414">
        <f>H185+I185</f>
        <v/>
      </c>
      <c r="AA185" s="414">
        <f>H185*N185</f>
        <v/>
      </c>
      <c r="AB185" s="123" t="n"/>
      <c r="AC185" s="123" t="n"/>
      <c r="AD185" s="123" t="n"/>
      <c r="AE185" s="123" t="n"/>
      <c r="AF185" s="123" t="n"/>
      <c r="AG185" s="123" t="n"/>
      <c r="AH185" s="123" t="n"/>
      <c r="AI185" s="123" t="n"/>
    </row>
    <row r="186" ht="27" customFormat="1" customHeight="1" s="3">
      <c r="A186" s="217" t="n"/>
      <c r="B186" s="418" t="n"/>
      <c r="C186" s="419" t="n"/>
      <c r="D186" s="113" t="n"/>
      <c r="E186" s="403" t="n"/>
      <c r="F186" s="404" t="n"/>
      <c r="G186" s="420" t="n"/>
      <c r="H186" s="406" t="n"/>
      <c r="I186" s="407" t="n"/>
      <c r="J186" s="408" t="n"/>
      <c r="K186" s="409" t="n"/>
      <c r="L186" s="391" t="n"/>
      <c r="M186" s="399" t="n"/>
      <c r="N186" s="410" t="n"/>
      <c r="O186" s="399" t="n"/>
      <c r="P186" s="411" t="n"/>
      <c r="Q186" s="399" t="n"/>
      <c r="R186" s="412" t="n"/>
      <c r="S186" s="399" t="n"/>
      <c r="T186" s="417" t="n"/>
      <c r="U186" s="391" t="n"/>
      <c r="V186" s="391" t="n"/>
      <c r="W186" s="399" t="n"/>
      <c r="X186" s="217" t="n"/>
      <c r="Y186" s="414">
        <f>G186-H186-I186</f>
        <v/>
      </c>
      <c r="Z186" s="414">
        <f>H186+I186</f>
        <v/>
      </c>
      <c r="AA186" s="414">
        <f>H186*N186</f>
        <v/>
      </c>
      <c r="AB186" s="123" t="n"/>
      <c r="AC186" s="123" t="n"/>
      <c r="AD186" s="123" t="n"/>
      <c r="AE186" s="123" t="n"/>
      <c r="AF186" s="123" t="n"/>
      <c r="AG186" s="123" t="n"/>
      <c r="AH186" s="123" t="n"/>
      <c r="AI186" s="123" t="n"/>
    </row>
    <row r="187" ht="27" customFormat="1" customHeight="1" s="3">
      <c r="A187" s="217" t="n"/>
      <c r="B187" s="418" t="n"/>
      <c r="C187" s="419" t="n"/>
      <c r="D187" s="113" t="n"/>
      <c r="E187" s="403" t="n"/>
      <c r="F187" s="404" t="n"/>
      <c r="G187" s="420" t="n"/>
      <c r="H187" s="406" t="n"/>
      <c r="I187" s="407" t="n"/>
      <c r="J187" s="408" t="n"/>
      <c r="K187" s="409" t="n"/>
      <c r="L187" s="391" t="n"/>
      <c r="M187" s="399" t="n"/>
      <c r="N187" s="410" t="n"/>
      <c r="O187" s="399" t="n"/>
      <c r="P187" s="411" t="n"/>
      <c r="Q187" s="399" t="n"/>
      <c r="R187" s="412" t="n"/>
      <c r="S187" s="399" t="n"/>
      <c r="T187" s="417" t="n"/>
      <c r="U187" s="391" t="n"/>
      <c r="V187" s="391" t="n"/>
      <c r="W187" s="399" t="n"/>
      <c r="X187" s="217" t="n"/>
      <c r="Y187" s="414">
        <f>G187-H187-I187</f>
        <v/>
      </c>
      <c r="Z187" s="414">
        <f>H187+I187</f>
        <v/>
      </c>
      <c r="AA187" s="414">
        <f>H187*N187</f>
        <v/>
      </c>
      <c r="AB187" s="123" t="n"/>
      <c r="AC187" s="123" t="n"/>
      <c r="AD187" s="123" t="n"/>
      <c r="AE187" s="123" t="n"/>
      <c r="AF187" s="123" t="n"/>
      <c r="AG187" s="123" t="n"/>
      <c r="AH187" s="123" t="n"/>
      <c r="AI187" s="123" t="n"/>
    </row>
    <row r="188" ht="27" customFormat="1" customHeight="1" s="3">
      <c r="A188" s="217" t="n"/>
      <c r="B188" s="418" t="n"/>
      <c r="C188" s="419" t="n"/>
      <c r="D188" s="113" t="n"/>
      <c r="E188" s="403" t="n"/>
      <c r="F188" s="404" t="n"/>
      <c r="G188" s="420" t="n"/>
      <c r="H188" s="406" t="n"/>
      <c r="I188" s="407" t="n"/>
      <c r="J188" s="408" t="n"/>
      <c r="K188" s="409" t="n"/>
      <c r="L188" s="391" t="n"/>
      <c r="M188" s="399" t="n"/>
      <c r="N188" s="410" t="n"/>
      <c r="O188" s="399" t="n"/>
      <c r="P188" s="411" t="n"/>
      <c r="Q188" s="399" t="n"/>
      <c r="R188" s="412" t="n"/>
      <c r="S188" s="399" t="n"/>
      <c r="T188" s="417" t="n"/>
      <c r="U188" s="391" t="n"/>
      <c r="V188" s="391" t="n"/>
      <c r="W188" s="399" t="n"/>
      <c r="X188" s="217" t="n"/>
      <c r="Y188" s="414">
        <f>G188-H188-I188</f>
        <v/>
      </c>
      <c r="Z188" s="414">
        <f>H188+I188</f>
        <v/>
      </c>
      <c r="AA188" s="414">
        <f>H188*N188</f>
        <v/>
      </c>
      <c r="AB188" s="123" t="n"/>
      <c r="AC188" s="123" t="n"/>
      <c r="AD188" s="123" t="n"/>
      <c r="AE188" s="123" t="n"/>
      <c r="AF188" s="123" t="n"/>
      <c r="AG188" s="123" t="n"/>
      <c r="AH188" s="123" t="n"/>
      <c r="AI188" s="123" t="n"/>
    </row>
    <row r="189" ht="6" customFormat="1" customHeight="1" s="3">
      <c r="A189" s="217" t="n"/>
      <c r="B189" s="461" t="n"/>
      <c r="C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217" t="n"/>
      <c r="Y189" s="432" t="n"/>
      <c r="Z189" s="376" t="n"/>
      <c r="AA189" s="376" t="n"/>
    </row>
  </sheetData>
  <mergeCells count="918">
    <mergeCell ref="N101:O101"/>
    <mergeCell ref="P163:Q163"/>
    <mergeCell ref="R92:S92"/>
    <mergeCell ref="N138:O138"/>
    <mergeCell ref="N113:O113"/>
    <mergeCell ref="N76:O76"/>
    <mergeCell ref="P138:Q138"/>
    <mergeCell ref="R67:S67"/>
    <mergeCell ref="P76:Q76"/>
    <mergeCell ref="T60:W60"/>
    <mergeCell ref="N100:O100"/>
    <mergeCell ref="T16:W16"/>
    <mergeCell ref="K106:M106"/>
    <mergeCell ref="N94:O94"/>
    <mergeCell ref="T131:W131"/>
    <mergeCell ref="R138:S138"/>
    <mergeCell ref="P94:Q94"/>
    <mergeCell ref="T174:W174"/>
    <mergeCell ref="T52:W52"/>
    <mergeCell ref="R94:S94"/>
    <mergeCell ref="T187:W187"/>
    <mergeCell ref="K56:M56"/>
    <mergeCell ref="N140:O140"/>
    <mergeCell ref="P69:Q69"/>
    <mergeCell ref="P140:Q140"/>
    <mergeCell ref="R69:S69"/>
    <mergeCell ref="K170:M170"/>
    <mergeCell ref="T18:W18"/>
    <mergeCell ref="P158:Q158"/>
    <mergeCell ref="T116:W116"/>
    <mergeCell ref="R158:S158"/>
    <mergeCell ref="N77:O77"/>
    <mergeCell ref="P6:Q6"/>
    <mergeCell ref="K120:M120"/>
    <mergeCell ref="K145:M145"/>
    <mergeCell ref="R133:S133"/>
    <mergeCell ref="T126:W126"/>
    <mergeCell ref="N169:O169"/>
    <mergeCell ref="K160:M160"/>
    <mergeCell ref="T49:W49"/>
    <mergeCell ref="K147:M147"/>
    <mergeCell ref="R135:S135"/>
    <mergeCell ref="R51:S51"/>
    <mergeCell ref="T42:W42"/>
    <mergeCell ref="T78:W78"/>
    <mergeCell ref="H28:H29"/>
    <mergeCell ref="T65:W65"/>
    <mergeCell ref="T50:W50"/>
    <mergeCell ref="N87:O87"/>
    <mergeCell ref="T44:W44"/>
    <mergeCell ref="K25:M25"/>
    <mergeCell ref="P87:Q87"/>
    <mergeCell ref="T142:W142"/>
    <mergeCell ref="T80:W80"/>
    <mergeCell ref="N168:O168"/>
    <mergeCell ref="K36:M36"/>
    <mergeCell ref="N89:O89"/>
    <mergeCell ref="P89:Q89"/>
    <mergeCell ref="T73:W73"/>
    <mergeCell ref="R18:S18"/>
    <mergeCell ref="T144:W144"/>
    <mergeCell ref="B26:B27"/>
    <mergeCell ref="K173:M173"/>
    <mergeCell ref="K100:M100"/>
    <mergeCell ref="T119:W119"/>
    <mergeCell ref="R186:S186"/>
    <mergeCell ref="K94:M94"/>
    <mergeCell ref="P88:Q88"/>
    <mergeCell ref="K165:M165"/>
    <mergeCell ref="N153:O153"/>
    <mergeCell ref="P153:Q153"/>
    <mergeCell ref="R82:S82"/>
    <mergeCell ref="K44:M44"/>
    <mergeCell ref="R153:S153"/>
    <mergeCell ref="K102:M102"/>
    <mergeCell ref="E5:F5"/>
    <mergeCell ref="R19:S19"/>
    <mergeCell ref="R26:S27"/>
    <mergeCell ref="R146:S146"/>
    <mergeCell ref="N184:O184"/>
    <mergeCell ref="N171:O171"/>
    <mergeCell ref="N121:O121"/>
    <mergeCell ref="N115:O115"/>
    <mergeCell ref="K176:M176"/>
    <mergeCell ref="P115:Q115"/>
    <mergeCell ref="N42:O42"/>
    <mergeCell ref="N102:O102"/>
    <mergeCell ref="K97:M97"/>
    <mergeCell ref="R110:S110"/>
    <mergeCell ref="N52:O52"/>
    <mergeCell ref="P77:Q77"/>
    <mergeCell ref="N179:O179"/>
    <mergeCell ref="P179:Q179"/>
    <mergeCell ref="N44:O44"/>
    <mergeCell ref="N166:O166"/>
    <mergeCell ref="T53:W53"/>
    <mergeCell ref="P166:Q166"/>
    <mergeCell ref="T124:W124"/>
    <mergeCell ref="K128:M128"/>
    <mergeCell ref="N116:O116"/>
    <mergeCell ref="K184:M184"/>
    <mergeCell ref="P141:Q141"/>
    <mergeCell ref="T22:W23"/>
    <mergeCell ref="R141:S141"/>
    <mergeCell ref="K171:M171"/>
    <mergeCell ref="T68:W68"/>
    <mergeCell ref="K49:M49"/>
    <mergeCell ref="P37:Q37"/>
    <mergeCell ref="T117:W117"/>
    <mergeCell ref="T55:W55"/>
    <mergeCell ref="P168:Q168"/>
    <mergeCell ref="P143:Q143"/>
    <mergeCell ref="R72:S72"/>
    <mergeCell ref="K113:M113"/>
    <mergeCell ref="T132:W132"/>
    <mergeCell ref="R143:S143"/>
    <mergeCell ref="R24:S25"/>
    <mergeCell ref="P14:Q14"/>
    <mergeCell ref="R14:S14"/>
    <mergeCell ref="R136:S136"/>
    <mergeCell ref="D21:F21"/>
    <mergeCell ref="N70:O70"/>
    <mergeCell ref="P113:Q113"/>
    <mergeCell ref="K75:M75"/>
    <mergeCell ref="N134:O134"/>
    <mergeCell ref="R88:S88"/>
    <mergeCell ref="T81:W81"/>
    <mergeCell ref="T37:W37"/>
    <mergeCell ref="AA5:AA6"/>
    <mergeCell ref="C22:C23"/>
    <mergeCell ref="AC5:AC6"/>
    <mergeCell ref="N96:O96"/>
    <mergeCell ref="P96:Q96"/>
    <mergeCell ref="N161:O161"/>
    <mergeCell ref="P90:Q90"/>
    <mergeCell ref="T145:W145"/>
    <mergeCell ref="R90:S90"/>
    <mergeCell ref="P161:Q161"/>
    <mergeCell ref="G28:G29"/>
    <mergeCell ref="K39:M39"/>
    <mergeCell ref="N98:O98"/>
    <mergeCell ref="K166:M166"/>
    <mergeCell ref="P154:Q154"/>
    <mergeCell ref="R83:S83"/>
    <mergeCell ref="T38:W38"/>
    <mergeCell ref="R154:S154"/>
    <mergeCell ref="T147:W147"/>
    <mergeCell ref="K116:M116"/>
    <mergeCell ref="K103:M103"/>
    <mergeCell ref="T122:W122"/>
    <mergeCell ref="P91:Q91"/>
    <mergeCell ref="R20:S20"/>
    <mergeCell ref="K168:M168"/>
    <mergeCell ref="R91:S91"/>
    <mergeCell ref="P156:Q156"/>
    <mergeCell ref="R85:S85"/>
    <mergeCell ref="N123:O123"/>
    <mergeCell ref="R156:S156"/>
    <mergeCell ref="K118:M118"/>
    <mergeCell ref="T63:W63"/>
    <mergeCell ref="K167:M167"/>
    <mergeCell ref="N60:O60"/>
    <mergeCell ref="N187:O187"/>
    <mergeCell ref="B30:C30"/>
    <mergeCell ref="T74:W74"/>
    <mergeCell ref="T71:W71"/>
    <mergeCell ref="D28:F29"/>
    <mergeCell ref="B22:B23"/>
    <mergeCell ref="T92:W92"/>
    <mergeCell ref="P108:Q108"/>
    <mergeCell ref="T163:W163"/>
    <mergeCell ref="N124:O124"/>
    <mergeCell ref="T40:W40"/>
    <mergeCell ref="N118:O118"/>
    <mergeCell ref="P180:Q180"/>
    <mergeCell ref="T138:W138"/>
    <mergeCell ref="P118:Q118"/>
    <mergeCell ref="T76:W76"/>
    <mergeCell ref="N45:O45"/>
    <mergeCell ref="R9:S9"/>
    <mergeCell ref="P45:Q45"/>
    <mergeCell ref="R180:S180"/>
    <mergeCell ref="T100:W100"/>
    <mergeCell ref="P167:Q167"/>
    <mergeCell ref="R167:S167"/>
    <mergeCell ref="T94:W94"/>
    <mergeCell ref="K63:M63"/>
    <mergeCell ref="K129:M129"/>
    <mergeCell ref="K134:M134"/>
    <mergeCell ref="N126:O126"/>
    <mergeCell ref="K50:M50"/>
    <mergeCell ref="T69:W69"/>
    <mergeCell ref="P182:Q182"/>
    <mergeCell ref="N109:O109"/>
    <mergeCell ref="P38:Q38"/>
    <mergeCell ref="N47:O47"/>
    <mergeCell ref="P109:Q109"/>
    <mergeCell ref="R38:S38"/>
    <mergeCell ref="R11:S11"/>
    <mergeCell ref="T140:W140"/>
    <mergeCell ref="R182:S182"/>
    <mergeCell ref="T158:W158"/>
    <mergeCell ref="K181:M181"/>
    <mergeCell ref="P169:Q169"/>
    <mergeCell ref="R13:S13"/>
    <mergeCell ref="K58:M58"/>
    <mergeCell ref="K52:M52"/>
    <mergeCell ref="P40:Q40"/>
    <mergeCell ref="R40:S40"/>
    <mergeCell ref="T160:W160"/>
    <mergeCell ref="R15:S15"/>
    <mergeCell ref="R104:S104"/>
    <mergeCell ref="N71:O71"/>
    <mergeCell ref="K53:M53"/>
    <mergeCell ref="T45:W45"/>
    <mergeCell ref="N73:O73"/>
    <mergeCell ref="K93:M93"/>
    <mergeCell ref="P98:Q98"/>
    <mergeCell ref="T87:W87"/>
    <mergeCell ref="N119:O119"/>
    <mergeCell ref="P175:Q175"/>
    <mergeCell ref="T59:W59"/>
    <mergeCell ref="N162:O162"/>
    <mergeCell ref="N137:O137"/>
    <mergeCell ref="P162:Q162"/>
    <mergeCell ref="P137:Q137"/>
    <mergeCell ref="T89:W89"/>
    <mergeCell ref="N177:O177"/>
    <mergeCell ref="P106:Q106"/>
    <mergeCell ref="P177:Q177"/>
    <mergeCell ref="P93:Q93"/>
    <mergeCell ref="T88:W88"/>
    <mergeCell ref="R155:S155"/>
    <mergeCell ref="R93:S93"/>
    <mergeCell ref="P164:Q164"/>
    <mergeCell ref="K55:M55"/>
    <mergeCell ref="T153:W153"/>
    <mergeCell ref="K126:M126"/>
    <mergeCell ref="N114:O114"/>
    <mergeCell ref="K182:M182"/>
    <mergeCell ref="K188:M188"/>
    <mergeCell ref="K169:M169"/>
    <mergeCell ref="AB5:AB6"/>
    <mergeCell ref="R170:S170"/>
    <mergeCell ref="AD5:AD6"/>
    <mergeCell ref="R157:S157"/>
    <mergeCell ref="K119:M119"/>
    <mergeCell ref="T8:W8"/>
    <mergeCell ref="K46:M46"/>
    <mergeCell ref="O4:Q4"/>
    <mergeCell ref="K40:M40"/>
    <mergeCell ref="R172:S172"/>
    <mergeCell ref="N66:O66"/>
    <mergeCell ref="N188:O188"/>
    <mergeCell ref="P188:Q188"/>
    <mergeCell ref="R22:S23"/>
    <mergeCell ref="N53:O53"/>
    <mergeCell ref="T115:W115"/>
    <mergeCell ref="T102:W102"/>
    <mergeCell ref="K71:M71"/>
    <mergeCell ref="N130:O130"/>
    <mergeCell ref="P59:Q59"/>
    <mergeCell ref="N68:O68"/>
    <mergeCell ref="P130:Q130"/>
    <mergeCell ref="T77:W77"/>
    <mergeCell ref="N46:O46"/>
    <mergeCell ref="N117:O117"/>
    <mergeCell ref="P46:Q46"/>
    <mergeCell ref="T179:W179"/>
    <mergeCell ref="P111:Q111"/>
    <mergeCell ref="T166:W166"/>
    <mergeCell ref="K73:M73"/>
    <mergeCell ref="N61:O61"/>
    <mergeCell ref="P61:Q61"/>
    <mergeCell ref="T141:W141"/>
    <mergeCell ref="N48:O48"/>
    <mergeCell ref="R12:S12"/>
    <mergeCell ref="R183:S183"/>
    <mergeCell ref="P48:Q48"/>
    <mergeCell ref="K10:M10"/>
    <mergeCell ref="R175:S175"/>
    <mergeCell ref="K66:M66"/>
    <mergeCell ref="K137:M137"/>
    <mergeCell ref="T168:W168"/>
    <mergeCell ref="P125:Q125"/>
    <mergeCell ref="R54:S54"/>
    <mergeCell ref="K124:M124"/>
    <mergeCell ref="R125:S125"/>
    <mergeCell ref="T143:W143"/>
    <mergeCell ref="P185:Q185"/>
    <mergeCell ref="P112:Q112"/>
    <mergeCell ref="R41:S41"/>
    <mergeCell ref="R112:S112"/>
    <mergeCell ref="K74:M74"/>
    <mergeCell ref="R106:S106"/>
    <mergeCell ref="K68:M68"/>
    <mergeCell ref="K139:M139"/>
    <mergeCell ref="R56:S56"/>
    <mergeCell ref="P43:Q43"/>
    <mergeCell ref="R105:S105"/>
    <mergeCell ref="R43:S43"/>
    <mergeCell ref="T21:W21"/>
    <mergeCell ref="R120:S120"/>
    <mergeCell ref="T113:W113"/>
    <mergeCell ref="R107:S107"/>
    <mergeCell ref="N145:O145"/>
    <mergeCell ref="T61:W61"/>
    <mergeCell ref="N139:O139"/>
    <mergeCell ref="P139:Q139"/>
    <mergeCell ref="P176:Q176"/>
    <mergeCell ref="P114:Q114"/>
    <mergeCell ref="K150:M150"/>
    <mergeCell ref="N16:O16"/>
    <mergeCell ref="T96:W96"/>
    <mergeCell ref="N174:O174"/>
    <mergeCell ref="T90:W90"/>
    <mergeCell ref="T161:W161"/>
    <mergeCell ref="N51:O51"/>
    <mergeCell ref="N122:O122"/>
    <mergeCell ref="R59:S59"/>
    <mergeCell ref="P178:Q178"/>
    <mergeCell ref="P9:Q9"/>
    <mergeCell ref="K8:M8"/>
    <mergeCell ref="T98:W98"/>
    <mergeCell ref="T154:W154"/>
    <mergeCell ref="K23:M23"/>
    <mergeCell ref="P36:Q36"/>
    <mergeCell ref="P11:Q11"/>
    <mergeCell ref="T91:W91"/>
    <mergeCell ref="R36:S36"/>
    <mergeCell ref="T156:W156"/>
    <mergeCell ref="R5:S6"/>
    <mergeCell ref="N92:O92"/>
    <mergeCell ref="K5:Q5"/>
    <mergeCell ref="R173:S173"/>
    <mergeCell ref="R100:S100"/>
    <mergeCell ref="T93:W93"/>
    <mergeCell ref="N67:O67"/>
    <mergeCell ref="K62:M62"/>
    <mergeCell ref="K18:M18"/>
    <mergeCell ref="P102:Q102"/>
    <mergeCell ref="T108:W108"/>
    <mergeCell ref="N69:O69"/>
    <mergeCell ref="T180:W180"/>
    <mergeCell ref="T9:W9"/>
    <mergeCell ref="T118:W118"/>
    <mergeCell ref="N158:O158"/>
    <mergeCell ref="P183:Q183"/>
    <mergeCell ref="T167:W167"/>
    <mergeCell ref="N6:O6"/>
    <mergeCell ref="N133:O133"/>
    <mergeCell ref="P62:Q62"/>
    <mergeCell ref="P133:Q133"/>
    <mergeCell ref="T24:W25"/>
    <mergeCell ref="P127:Q127"/>
    <mergeCell ref="K163:M163"/>
    <mergeCell ref="T182:W182"/>
    <mergeCell ref="R127:S127"/>
    <mergeCell ref="T11:W11"/>
    <mergeCell ref="T109:W109"/>
    <mergeCell ref="R176:S176"/>
    <mergeCell ref="T5:W6"/>
    <mergeCell ref="K138:M138"/>
    <mergeCell ref="T169:W169"/>
    <mergeCell ref="K76:M76"/>
    <mergeCell ref="U2:W2"/>
    <mergeCell ref="N135:O135"/>
    <mergeCell ref="P64:Q64"/>
    <mergeCell ref="P135:Q135"/>
    <mergeCell ref="R64:S64"/>
    <mergeCell ref="T75:W75"/>
    <mergeCell ref="P51:Q51"/>
    <mergeCell ref="R178:S178"/>
    <mergeCell ref="R151:S151"/>
    <mergeCell ref="K140:M140"/>
    <mergeCell ref="K67:M67"/>
    <mergeCell ref="R57:S57"/>
    <mergeCell ref="P128:Q128"/>
    <mergeCell ref="R128:S128"/>
    <mergeCell ref="N164:O164"/>
    <mergeCell ref="R49:S49"/>
    <mergeCell ref="K77:M77"/>
    <mergeCell ref="N18:O18"/>
    <mergeCell ref="P67:Q67"/>
    <mergeCell ref="N17:O17"/>
    <mergeCell ref="P186:Q186"/>
    <mergeCell ref="P17:Q17"/>
    <mergeCell ref="N148:O148"/>
    <mergeCell ref="N82:O82"/>
    <mergeCell ref="P82:Q82"/>
    <mergeCell ref="T162:W162"/>
    <mergeCell ref="T137:W137"/>
    <mergeCell ref="N26:O27"/>
    <mergeCell ref="K87:M87"/>
    <mergeCell ref="T106:W106"/>
    <mergeCell ref="N19:O19"/>
    <mergeCell ref="T177:W177"/>
    <mergeCell ref="P75:Q75"/>
    <mergeCell ref="P19:Q19"/>
    <mergeCell ref="N146:O146"/>
    <mergeCell ref="R75:S75"/>
    <mergeCell ref="P146:Q146"/>
    <mergeCell ref="K158:M158"/>
    <mergeCell ref="T164:W164"/>
    <mergeCell ref="R62:S62"/>
    <mergeCell ref="K24:M24"/>
    <mergeCell ref="P181:Q181"/>
    <mergeCell ref="K95:M95"/>
    <mergeCell ref="J5:J6"/>
    <mergeCell ref="K89:M89"/>
    <mergeCell ref="P12:Q12"/>
    <mergeCell ref="R181:S181"/>
    <mergeCell ref="K88:M88"/>
    <mergeCell ref="K51:M51"/>
    <mergeCell ref="R52:S52"/>
    <mergeCell ref="K26:M26"/>
    <mergeCell ref="K153:M153"/>
    <mergeCell ref="R39:S39"/>
    <mergeCell ref="N108:O108"/>
    <mergeCell ref="K72:M72"/>
    <mergeCell ref="T17:W17"/>
    <mergeCell ref="T188:W188"/>
    <mergeCell ref="N95:O95"/>
    <mergeCell ref="K90:M90"/>
    <mergeCell ref="N160:O160"/>
    <mergeCell ref="R103:S103"/>
    <mergeCell ref="N141:O141"/>
    <mergeCell ref="T130:W130"/>
    <mergeCell ref="T19:W19"/>
    <mergeCell ref="N37:O37"/>
    <mergeCell ref="N97:O97"/>
    <mergeCell ref="T46:W46"/>
    <mergeCell ref="N159:O159"/>
    <mergeCell ref="P159:Q159"/>
    <mergeCell ref="T111:W111"/>
    <mergeCell ref="N72:O72"/>
    <mergeCell ref="K115:M115"/>
    <mergeCell ref="N143:O143"/>
    <mergeCell ref="P72:Q72"/>
    <mergeCell ref="K42:M42"/>
    <mergeCell ref="T48:W48"/>
    <mergeCell ref="N24:O25"/>
    <mergeCell ref="P24:Q25"/>
    <mergeCell ref="K148:M148"/>
    <mergeCell ref="N136:O136"/>
    <mergeCell ref="P65:Q65"/>
    <mergeCell ref="K179:M179"/>
    <mergeCell ref="P136:Q136"/>
    <mergeCell ref="R65:S65"/>
    <mergeCell ref="T20:W20"/>
    <mergeCell ref="T125:W125"/>
    <mergeCell ref="R21:S21"/>
    <mergeCell ref="T14:W14"/>
    <mergeCell ref="N185:O185"/>
    <mergeCell ref="T185:W185"/>
    <mergeCell ref="T112:W112"/>
    <mergeCell ref="K19:M19"/>
    <mergeCell ref="K141:M141"/>
    <mergeCell ref="P26:Q27"/>
    <mergeCell ref="P7:Q7"/>
    <mergeCell ref="K6:M6"/>
    <mergeCell ref="R129:S129"/>
    <mergeCell ref="K37:M37"/>
    <mergeCell ref="R50:S50"/>
    <mergeCell ref="P74:Q74"/>
    <mergeCell ref="N88:O88"/>
    <mergeCell ref="T114:W114"/>
    <mergeCell ref="K83:M83"/>
    <mergeCell ref="R121:S121"/>
    <mergeCell ref="K143:M143"/>
    <mergeCell ref="R131:S131"/>
    <mergeCell ref="N90:O90"/>
    <mergeCell ref="C28:C29"/>
    <mergeCell ref="T139:W139"/>
    <mergeCell ref="N83:O83"/>
    <mergeCell ref="N154:O154"/>
    <mergeCell ref="P83:Q83"/>
    <mergeCell ref="H26:H27"/>
    <mergeCell ref="N20:O20"/>
    <mergeCell ref="N91:O91"/>
    <mergeCell ref="P20:Q20"/>
    <mergeCell ref="K159:M159"/>
    <mergeCell ref="N85:O85"/>
    <mergeCell ref="T178:W178"/>
    <mergeCell ref="N156:O156"/>
    <mergeCell ref="P85:Q85"/>
    <mergeCell ref="K96:M96"/>
    <mergeCell ref="P84:Q84"/>
    <mergeCell ref="K161:M161"/>
    <mergeCell ref="R84:S84"/>
    <mergeCell ref="T36:W36"/>
    <mergeCell ref="P149:Q149"/>
    <mergeCell ref="R78:S78"/>
    <mergeCell ref="R149:S149"/>
    <mergeCell ref="K27:M27"/>
    <mergeCell ref="K98:M98"/>
    <mergeCell ref="N151:O151"/>
    <mergeCell ref="P80:Q80"/>
    <mergeCell ref="R142:S142"/>
    <mergeCell ref="P151:Q151"/>
    <mergeCell ref="R80:S80"/>
    <mergeCell ref="N180:O180"/>
    <mergeCell ref="B28:B29"/>
    <mergeCell ref="N167:O167"/>
    <mergeCell ref="R55:S55"/>
    <mergeCell ref="R126:S126"/>
    <mergeCell ref="G5:G6"/>
    <mergeCell ref="K156:M156"/>
    <mergeCell ref="N111:O111"/>
    <mergeCell ref="R144:S144"/>
    <mergeCell ref="N182:O182"/>
    <mergeCell ref="N38:O38"/>
    <mergeCell ref="T183:W183"/>
    <mergeCell ref="P13:Q13"/>
    <mergeCell ref="K16:M16"/>
    <mergeCell ref="K187:M187"/>
    <mergeCell ref="T62:W62"/>
    <mergeCell ref="H24:H25"/>
    <mergeCell ref="T133:W133"/>
    <mergeCell ref="K108:M108"/>
    <mergeCell ref="N40:O40"/>
    <mergeCell ref="T127:W127"/>
    <mergeCell ref="T176:W176"/>
    <mergeCell ref="N15:O15"/>
    <mergeCell ref="K9:M9"/>
    <mergeCell ref="P15:Q15"/>
    <mergeCell ref="K45:M45"/>
    <mergeCell ref="T64:W64"/>
    <mergeCell ref="D24:F25"/>
    <mergeCell ref="P58:Q58"/>
    <mergeCell ref="T135:W135"/>
    <mergeCell ref="R58:S58"/>
    <mergeCell ref="T51:W51"/>
    <mergeCell ref="K20:M20"/>
    <mergeCell ref="N79:O79"/>
    <mergeCell ref="M31:N32"/>
    <mergeCell ref="P79:Q79"/>
    <mergeCell ref="R8:S8"/>
    <mergeCell ref="K11:M11"/>
    <mergeCell ref="P73:Q73"/>
    <mergeCell ref="K109:M109"/>
    <mergeCell ref="T128:W128"/>
    <mergeCell ref="R73:S73"/>
    <mergeCell ref="N35:O35"/>
    <mergeCell ref="K47:M47"/>
    <mergeCell ref="P35:Q35"/>
    <mergeCell ref="K84:M84"/>
    <mergeCell ref="R60:S60"/>
    <mergeCell ref="K22:M22"/>
    <mergeCell ref="P10:Q10"/>
    <mergeCell ref="R10:S10"/>
    <mergeCell ref="K111:M111"/>
    <mergeCell ref="R137:S137"/>
    <mergeCell ref="K86:M86"/>
    <mergeCell ref="T67:W67"/>
    <mergeCell ref="O29:P29"/>
    <mergeCell ref="N155:O155"/>
    <mergeCell ref="T186:W186"/>
    <mergeCell ref="N93:O93"/>
    <mergeCell ref="P155:Q155"/>
    <mergeCell ref="T82:W82"/>
    <mergeCell ref="N170:O170"/>
    <mergeCell ref="Z5:Z6"/>
    <mergeCell ref="N157:O157"/>
    <mergeCell ref="P86:Q86"/>
    <mergeCell ref="P157:Q157"/>
    <mergeCell ref="R86:S86"/>
    <mergeCell ref="T146:W146"/>
    <mergeCell ref="R42:S42"/>
    <mergeCell ref="T35:W35"/>
    <mergeCell ref="K175:M175"/>
    <mergeCell ref="N172:O172"/>
    <mergeCell ref="K162:M162"/>
    <mergeCell ref="T181:W181"/>
    <mergeCell ref="P172:Q172"/>
    <mergeCell ref="T10:W10"/>
    <mergeCell ref="P150:Q150"/>
    <mergeCell ref="R150:S150"/>
    <mergeCell ref="N186:O186"/>
    <mergeCell ref="K177:M177"/>
    <mergeCell ref="G26:G27"/>
    <mergeCell ref="P165:Q165"/>
    <mergeCell ref="K164:M164"/>
    <mergeCell ref="P152:Q152"/>
    <mergeCell ref="R81:S81"/>
    <mergeCell ref="R152:S152"/>
    <mergeCell ref="K114:M114"/>
    <mergeCell ref="H5:I5"/>
    <mergeCell ref="K35:M35"/>
    <mergeCell ref="N183:O183"/>
    <mergeCell ref="N104:O104"/>
    <mergeCell ref="N175:O175"/>
    <mergeCell ref="P104:Q104"/>
    <mergeCell ref="K99:M99"/>
    <mergeCell ref="Y5:Y6"/>
    <mergeCell ref="T159:W159"/>
    <mergeCell ref="N54:O54"/>
    <mergeCell ref="T72:W72"/>
    <mergeCell ref="N41:O41"/>
    <mergeCell ref="N112:O112"/>
    <mergeCell ref="P41:Q41"/>
    <mergeCell ref="K180:M180"/>
    <mergeCell ref="N106:O106"/>
    <mergeCell ref="L4:N4"/>
    <mergeCell ref="D26:F27"/>
    <mergeCell ref="K59:M59"/>
    <mergeCell ref="K130:M130"/>
    <mergeCell ref="N56:O56"/>
    <mergeCell ref="P56:Q56"/>
    <mergeCell ref="N105:O105"/>
    <mergeCell ref="K117:M117"/>
    <mergeCell ref="N43:O43"/>
    <mergeCell ref="P105:Q105"/>
    <mergeCell ref="R7:S7"/>
    <mergeCell ref="T136:W136"/>
    <mergeCell ref="P99:Q99"/>
    <mergeCell ref="P170:Q170"/>
    <mergeCell ref="R99:S99"/>
    <mergeCell ref="K61:M61"/>
    <mergeCell ref="K132:M132"/>
    <mergeCell ref="T26:W27"/>
    <mergeCell ref="P49:Q49"/>
    <mergeCell ref="R74:S74"/>
    <mergeCell ref="K48:M48"/>
    <mergeCell ref="N107:O107"/>
    <mergeCell ref="G24:G25"/>
    <mergeCell ref="P107:Q107"/>
    <mergeCell ref="P101:Q101"/>
    <mergeCell ref="R163:S163"/>
    <mergeCell ref="R101:S101"/>
    <mergeCell ref="K125:M125"/>
    <mergeCell ref="K112:M112"/>
    <mergeCell ref="R113:S113"/>
    <mergeCell ref="R76:S76"/>
    <mergeCell ref="T58:W58"/>
    <mergeCell ref="T54:W54"/>
    <mergeCell ref="N132:O132"/>
    <mergeCell ref="R165:S165"/>
    <mergeCell ref="K127:M127"/>
    <mergeCell ref="K152:M152"/>
    <mergeCell ref="N59:O59"/>
    <mergeCell ref="R140:S140"/>
    <mergeCell ref="N178:O178"/>
    <mergeCell ref="N9:O9"/>
    <mergeCell ref="T83:W83"/>
    <mergeCell ref="R77:S77"/>
    <mergeCell ref="T85:W85"/>
    <mergeCell ref="P54:Q54"/>
    <mergeCell ref="K185:M185"/>
    <mergeCell ref="N173:O173"/>
    <mergeCell ref="K41:M41"/>
    <mergeCell ref="AH5:AH6"/>
    <mergeCell ref="P173:Q173"/>
    <mergeCell ref="P100:Q100"/>
    <mergeCell ref="T84:W84"/>
    <mergeCell ref="T149:W149"/>
    <mergeCell ref="N110:O110"/>
    <mergeCell ref="K178:M178"/>
    <mergeCell ref="K105:M105"/>
    <mergeCell ref="P44:Q44"/>
    <mergeCell ref="K43:M43"/>
    <mergeCell ref="T86:W86"/>
    <mergeCell ref="R87:S87"/>
    <mergeCell ref="N125:O125"/>
    <mergeCell ref="K186:M186"/>
    <mergeCell ref="T151:W151"/>
    <mergeCell ref="K107:M107"/>
    <mergeCell ref="R168:S168"/>
    <mergeCell ref="P95:Q95"/>
    <mergeCell ref="N62:O62"/>
    <mergeCell ref="R89:S89"/>
    <mergeCell ref="N127:O127"/>
    <mergeCell ref="R160:S160"/>
    <mergeCell ref="N176:O176"/>
    <mergeCell ref="B24:B25"/>
    <mergeCell ref="N64:O64"/>
    <mergeCell ref="N120:O120"/>
    <mergeCell ref="P120:Q120"/>
    <mergeCell ref="T175:W175"/>
    <mergeCell ref="K69:M69"/>
    <mergeCell ref="N57:O57"/>
    <mergeCell ref="N128:O128"/>
    <mergeCell ref="P57:Q57"/>
    <mergeCell ref="P184:Q184"/>
    <mergeCell ref="K183:M183"/>
    <mergeCell ref="R184:S184"/>
    <mergeCell ref="P171:Q171"/>
    <mergeCell ref="R171:S171"/>
    <mergeCell ref="K133:M133"/>
    <mergeCell ref="P121:Q121"/>
    <mergeCell ref="T79:W79"/>
    <mergeCell ref="K54:M54"/>
    <mergeCell ref="R115:S115"/>
    <mergeCell ref="P42:Q42"/>
    <mergeCell ref="R102:S102"/>
    <mergeCell ref="K64:M64"/>
    <mergeCell ref="K135:M135"/>
    <mergeCell ref="P148:Q148"/>
    <mergeCell ref="P123:Q123"/>
    <mergeCell ref="K122:M122"/>
    <mergeCell ref="R148:S148"/>
    <mergeCell ref="R179:S179"/>
    <mergeCell ref="P110:Q110"/>
    <mergeCell ref="R44:S44"/>
    <mergeCell ref="N11:O11"/>
    <mergeCell ref="R166:S166"/>
    <mergeCell ref="N75:O75"/>
    <mergeCell ref="T155:W155"/>
    <mergeCell ref="N12:O12"/>
    <mergeCell ref="D22:F23"/>
    <mergeCell ref="T157:W157"/>
    <mergeCell ref="K17:M17"/>
    <mergeCell ref="N39:O39"/>
    <mergeCell ref="K82:M82"/>
    <mergeCell ref="N14:O14"/>
    <mergeCell ref="P39:Q39"/>
    <mergeCell ref="T172:W172"/>
    <mergeCell ref="P70:Q70"/>
    <mergeCell ref="T150:W150"/>
    <mergeCell ref="R95:S95"/>
    <mergeCell ref="R70:S70"/>
    <mergeCell ref="K57:M57"/>
    <mergeCell ref="P116:Q116"/>
    <mergeCell ref="N103:O103"/>
    <mergeCell ref="K146:M146"/>
    <mergeCell ref="T165:W165"/>
    <mergeCell ref="P103:Q103"/>
    <mergeCell ref="P134:Q134"/>
    <mergeCell ref="P97:Q97"/>
    <mergeCell ref="R159:S159"/>
    <mergeCell ref="R134:S134"/>
    <mergeCell ref="R97:S97"/>
    <mergeCell ref="K121:M121"/>
    <mergeCell ref="T152:W152"/>
    <mergeCell ref="P47:Q47"/>
    <mergeCell ref="AE5:AE6"/>
    <mergeCell ref="AG5:AG6"/>
    <mergeCell ref="G22:G23"/>
    <mergeCell ref="R96:S96"/>
    <mergeCell ref="AI5:AI6"/>
    <mergeCell ref="R161:S161"/>
    <mergeCell ref="K123:M123"/>
    <mergeCell ref="T12:W12"/>
    <mergeCell ref="K110:M110"/>
    <mergeCell ref="T104:W104"/>
    <mergeCell ref="R98:S98"/>
    <mergeCell ref="N65:O65"/>
    <mergeCell ref="K60:M60"/>
    <mergeCell ref="K174:M174"/>
    <mergeCell ref="T70:W70"/>
    <mergeCell ref="T41:W41"/>
    <mergeCell ref="N129:O129"/>
    <mergeCell ref="N63:O63"/>
    <mergeCell ref="N7:O7"/>
    <mergeCell ref="P129:Q129"/>
    <mergeCell ref="P63:Q63"/>
    <mergeCell ref="T13:W13"/>
    <mergeCell ref="R63:S63"/>
    <mergeCell ref="T56:W56"/>
    <mergeCell ref="N50:O50"/>
    <mergeCell ref="P50:Q50"/>
    <mergeCell ref="R123:S123"/>
    <mergeCell ref="T105:W105"/>
    <mergeCell ref="T7:W7"/>
    <mergeCell ref="T43:W43"/>
    <mergeCell ref="T99:W99"/>
    <mergeCell ref="K12:M12"/>
    <mergeCell ref="T170:W170"/>
    <mergeCell ref="N131:O131"/>
    <mergeCell ref="P60:Q60"/>
    <mergeCell ref="P131:Q131"/>
    <mergeCell ref="P187:Q187"/>
    <mergeCell ref="R16:S16"/>
    <mergeCell ref="R187:S187"/>
    <mergeCell ref="P174:Q174"/>
    <mergeCell ref="P52:Q52"/>
    <mergeCell ref="T107:W107"/>
    <mergeCell ref="R174:S174"/>
    <mergeCell ref="R108:S108"/>
    <mergeCell ref="T101:W101"/>
    <mergeCell ref="K70:M70"/>
    <mergeCell ref="AF5:AF6"/>
    <mergeCell ref="H22:H23"/>
    <mergeCell ref="P124:Q124"/>
    <mergeCell ref="K136:M136"/>
    <mergeCell ref="K14:M14"/>
    <mergeCell ref="R124:S124"/>
    <mergeCell ref="R118:S118"/>
    <mergeCell ref="R45:S45"/>
    <mergeCell ref="K7:M7"/>
    <mergeCell ref="I21:M21"/>
    <mergeCell ref="K65:M65"/>
    <mergeCell ref="P126:Q126"/>
    <mergeCell ref="R109:S109"/>
    <mergeCell ref="R47:S47"/>
    <mergeCell ref="N13:O13"/>
    <mergeCell ref="N84:O84"/>
    <mergeCell ref="N78:O78"/>
    <mergeCell ref="N149:O149"/>
    <mergeCell ref="P78:Q78"/>
    <mergeCell ref="K154:M154"/>
    <mergeCell ref="N142:O142"/>
    <mergeCell ref="P71:Q71"/>
    <mergeCell ref="N80:O80"/>
    <mergeCell ref="P142:Q142"/>
    <mergeCell ref="R71:S71"/>
    <mergeCell ref="N55:O55"/>
    <mergeCell ref="P117:Q117"/>
    <mergeCell ref="P55:Q55"/>
    <mergeCell ref="K91:M91"/>
    <mergeCell ref="C5:C6"/>
    <mergeCell ref="R111:S111"/>
    <mergeCell ref="T66:W66"/>
    <mergeCell ref="K85:M85"/>
    <mergeCell ref="N144:O144"/>
    <mergeCell ref="P144:Q144"/>
    <mergeCell ref="R169:S169"/>
    <mergeCell ref="K131:M131"/>
    <mergeCell ref="P119:Q119"/>
    <mergeCell ref="K149:M149"/>
    <mergeCell ref="T95:W95"/>
    <mergeCell ref="R162:S162"/>
    <mergeCell ref="R177:S177"/>
    <mergeCell ref="K151:M151"/>
    <mergeCell ref="R164:S164"/>
    <mergeCell ref="N58:O58"/>
    <mergeCell ref="T15:W15"/>
    <mergeCell ref="T120:W120"/>
    <mergeCell ref="R114:S114"/>
    <mergeCell ref="N8:O8"/>
    <mergeCell ref="R35:S35"/>
    <mergeCell ref="K38:M38"/>
    <mergeCell ref="T184:W184"/>
    <mergeCell ref="K13:M13"/>
    <mergeCell ref="T171:W171"/>
    <mergeCell ref="R116:S116"/>
    <mergeCell ref="K78:M78"/>
    <mergeCell ref="U4:W4"/>
    <mergeCell ref="N10:O10"/>
    <mergeCell ref="P66:Q66"/>
    <mergeCell ref="T121:W121"/>
    <mergeCell ref="R66:S66"/>
    <mergeCell ref="R17:S17"/>
    <mergeCell ref="R188:S188"/>
    <mergeCell ref="P53:Q53"/>
    <mergeCell ref="R53:S53"/>
    <mergeCell ref="N22:O23"/>
    <mergeCell ref="K15:M15"/>
    <mergeCell ref="T173:W173"/>
    <mergeCell ref="K142:M142"/>
    <mergeCell ref="P22:Q23"/>
    <mergeCell ref="K80:M80"/>
    <mergeCell ref="P68:Q68"/>
    <mergeCell ref="K104:M104"/>
    <mergeCell ref="M29:N29"/>
    <mergeCell ref="R68:S68"/>
    <mergeCell ref="T123:W123"/>
    <mergeCell ref="R46:S46"/>
    <mergeCell ref="R130:S130"/>
    <mergeCell ref="R117:S117"/>
    <mergeCell ref="T110:W110"/>
    <mergeCell ref="K79:M79"/>
    <mergeCell ref="T148:W148"/>
    <mergeCell ref="K144:M144"/>
    <mergeCell ref="P132:Q132"/>
    <mergeCell ref="R61:S61"/>
    <mergeCell ref="R132:S132"/>
    <mergeCell ref="R48:S48"/>
    <mergeCell ref="N86:O86"/>
    <mergeCell ref="R119:S119"/>
    <mergeCell ref="K81:M81"/>
    <mergeCell ref="O31:P32"/>
    <mergeCell ref="Z4:AI4"/>
    <mergeCell ref="N150:O150"/>
    <mergeCell ref="R79:S79"/>
    <mergeCell ref="C26:C27"/>
    <mergeCell ref="N165:O165"/>
    <mergeCell ref="K155:M155"/>
    <mergeCell ref="N21:O21"/>
    <mergeCell ref="N81:O81"/>
    <mergeCell ref="P21:Q21"/>
    <mergeCell ref="N152:O152"/>
    <mergeCell ref="P81:Q81"/>
    <mergeCell ref="T39:W39"/>
    <mergeCell ref="P8:Q8"/>
    <mergeCell ref="R37:S37"/>
    <mergeCell ref="T57:W57"/>
    <mergeCell ref="K157:M157"/>
    <mergeCell ref="P145:Q145"/>
    <mergeCell ref="T103:W103"/>
    <mergeCell ref="T134:W134"/>
    <mergeCell ref="T97:W97"/>
    <mergeCell ref="R145:S145"/>
    <mergeCell ref="R139:S139"/>
    <mergeCell ref="N181:O181"/>
    <mergeCell ref="K101:M101"/>
    <mergeCell ref="K172:M172"/>
    <mergeCell ref="T47:W47"/>
    <mergeCell ref="P160:Q160"/>
    <mergeCell ref="P16:Q16"/>
    <mergeCell ref="N147:O147"/>
    <mergeCell ref="R185:S185"/>
    <mergeCell ref="P147:Q147"/>
    <mergeCell ref="R147:S147"/>
    <mergeCell ref="P122:Q122"/>
    <mergeCell ref="K92:M92"/>
    <mergeCell ref="R122:S122"/>
    <mergeCell ref="B5:B6"/>
    <mergeCell ref="D5:D6"/>
    <mergeCell ref="P18:Q18"/>
    <mergeCell ref="N99:O99"/>
    <mergeCell ref="N74:O74"/>
    <mergeCell ref="N49:O49"/>
    <mergeCell ref="C24:C25"/>
    <mergeCell ref="T129:W129"/>
    <mergeCell ref="N36:O36"/>
    <mergeCell ref="N163:O163"/>
    <mergeCell ref="P92:Q92"/>
  </mergeCells>
  <printOptions horizontalCentered="1" verticalCentered="1"/>
  <pageMargins left="0" right="0" top="0.3937007874015748" bottom="0" header="0.5118110236220472" footer="0.1968503937007874"/>
  <pageSetup orientation="landscape" paperSize="9" scale="73"/>
  <headerFooter alignWithMargins="0">
    <oddHeader>&amp;L&amp;N</oddHeader>
    <oddFooter/>
    <evenHeader/>
    <evenFooter/>
    <firstHeader/>
    <firstFooter/>
  </headerFooter>
  <colBreaks count="1" manualBreakCount="1">
    <brk id="24" min="0" max="6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2006-09-13T11:19:49Z</dcterms:created>
  <dcterms:modified xmlns:dcterms="http://purl.org/dc/terms/" xmlns:xsi="http://www.w3.org/2001/XMLSchema-instance" xsi:type="dcterms:W3CDTF">2026-10-28T06:11:45Z</dcterms:modified>
</cp:coreProperties>
</file>